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tv/Documents/LeCoinStat/Travaux/En cours  /"/>
    </mc:Choice>
  </mc:AlternateContent>
  <xr:revisionPtr revIDLastSave="0" documentId="13_ncr:1_{FC8FA9F6-748C-734A-A33A-B0E99F70A0C9}" xr6:coauthVersionLast="47" xr6:coauthVersionMax="47" xr10:uidLastSave="{00000000-0000-0000-0000-000000000000}"/>
  <workbookProtection workbookAlgorithmName="SHA-512" workbookHashValue="MWeOzcFMRPo96JnCN9d4DZGSNfHhAelOxjMBxWy0Jq3EnnQKX5kWMC27l5w6wcA1xTWEHWYiqP8oF+wxcwv86A==" workbookSaltValue="Tp1bEaI476idT946xbG4OA==" workbookSpinCount="100000" lockStructure="1"/>
  <bookViews>
    <workbookView xWindow="0" yWindow="660" windowWidth="34560" windowHeight="21680" activeTab="1" xr2:uid="{58694535-FA0A-BA48-AB9F-D461FEB610C3}"/>
  </bookViews>
  <sheets>
    <sheet name="Fusion" sheetId="3" r:id="rId1"/>
    <sheet name="Source 2" sheetId="6" r:id="rId2"/>
    <sheet name="Source 1" sheetId="7" r:id="rId3"/>
  </sheets>
  <externalReferences>
    <externalReference r:id="rId4"/>
    <externalReference r:id="rId5"/>
  </externalReferences>
  <definedNames>
    <definedName name="__xlnm.Print_Area_3">#REF!</definedName>
    <definedName name="__xlnm.Print_Titles_4">('[1]LICENCES  COMPETITION'!$A$1:$B$65536,'[1]LICENCES  COMPETITION'!$A$1:$IV$2)</definedName>
    <definedName name="__xlnm.Print_Titles_5">('[1]AUTRES LICENCES'!$A$1:$B$65536,'[1]AUTRES LICENCES'!$A$1:$IV$2)</definedName>
    <definedName name="_2009238A">#REF!</definedName>
    <definedName name="_xlnm.Print_Titles" localSheetId="1">'Source 2'!$1:$5</definedName>
    <definedName name="lic1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8" i="3" l="1"/>
  <c r="F105" i="3"/>
  <c r="F100" i="3"/>
  <c r="B95" i="3"/>
  <c r="F95" i="3" s="1"/>
  <c r="B9" i="3"/>
  <c r="F9" i="3" s="1"/>
  <c r="B31" i="3"/>
  <c r="F31" i="3" s="1"/>
  <c r="B24" i="3"/>
  <c r="F24" i="3" s="1"/>
  <c r="B49" i="3"/>
  <c r="F49" i="3" s="1"/>
  <c r="B80" i="3"/>
  <c r="F80" i="3" s="1"/>
  <c r="B41" i="3"/>
  <c r="F41" i="3" s="1"/>
  <c r="B11" i="3"/>
  <c r="F11" i="3" s="1"/>
  <c r="B10" i="3"/>
  <c r="F10" i="3" s="1"/>
  <c r="B20" i="3"/>
  <c r="F20" i="3" s="1"/>
  <c r="B5" i="3"/>
  <c r="F5" i="3" s="1"/>
  <c r="B39" i="3"/>
  <c r="F39" i="3" s="1"/>
  <c r="B60" i="3"/>
  <c r="F60" i="3" s="1"/>
  <c r="B59" i="3"/>
  <c r="F59" i="3" s="1"/>
  <c r="B42" i="3"/>
  <c r="F42" i="3" s="1"/>
  <c r="B43" i="3"/>
  <c r="F43" i="3" s="1"/>
  <c r="B63" i="3"/>
  <c r="F63" i="3" s="1"/>
  <c r="B33" i="3"/>
  <c r="F33" i="3" s="1"/>
  <c r="B44" i="3"/>
  <c r="F44" i="3" s="1"/>
  <c r="B81" i="3"/>
  <c r="F81" i="3" s="1"/>
  <c r="B58" i="3"/>
  <c r="F58" i="3" s="1"/>
  <c r="B7" i="3"/>
  <c r="F7" i="3" s="1"/>
  <c r="B21" i="3"/>
  <c r="F21" i="3" s="1"/>
  <c r="B87" i="3"/>
  <c r="F87" i="3" s="1"/>
  <c r="B53" i="3"/>
  <c r="F53" i="3" s="1"/>
  <c r="B56" i="3"/>
  <c r="F56" i="3" s="1"/>
  <c r="B72" i="3"/>
  <c r="F72" i="3" s="1"/>
  <c r="B77" i="3"/>
  <c r="F77" i="3" s="1"/>
  <c r="B75" i="3"/>
  <c r="F75" i="3" s="1"/>
  <c r="B22" i="3"/>
  <c r="F22" i="3" s="1"/>
  <c r="B15" i="3"/>
  <c r="F15" i="3" s="1"/>
  <c r="B85" i="3"/>
  <c r="F85" i="3" s="1"/>
  <c r="B38" i="3"/>
  <c r="F38" i="3" s="1"/>
  <c r="B83" i="3"/>
  <c r="F83" i="3" s="1"/>
  <c r="B26" i="3"/>
  <c r="F26" i="3" s="1"/>
  <c r="B82" i="3"/>
  <c r="F82" i="3" s="1"/>
  <c r="B18" i="3"/>
  <c r="F18" i="3" s="1"/>
  <c r="B69" i="3"/>
  <c r="F69" i="3" s="1"/>
  <c r="B89" i="3"/>
  <c r="F89" i="3" s="1"/>
  <c r="B76" i="3"/>
  <c r="F76" i="3"/>
  <c r="B61" i="3"/>
  <c r="F61" i="3" s="1"/>
  <c r="B54" i="3"/>
  <c r="F54" i="3" s="1"/>
  <c r="B40" i="3"/>
  <c r="F40" i="3" s="1"/>
  <c r="B51" i="3"/>
  <c r="F51" i="3" s="1"/>
  <c r="B86" i="3"/>
  <c r="F86" i="3" s="1"/>
  <c r="B64" i="3"/>
  <c r="F64" i="3" s="1"/>
  <c r="B34" i="3"/>
  <c r="F34" i="3" s="1"/>
  <c r="B12" i="3"/>
  <c r="F12" i="3" s="1"/>
  <c r="B25" i="3"/>
  <c r="F25" i="3" s="1"/>
  <c r="B57" i="3"/>
  <c r="F57" i="3" s="1"/>
  <c r="B55" i="3"/>
  <c r="F55" i="3" s="1"/>
  <c r="B62" i="3"/>
  <c r="F62" i="3" s="1"/>
  <c r="B16" i="3"/>
  <c r="F16" i="3" s="1"/>
  <c r="B52" i="3"/>
  <c r="F52" i="3" s="1"/>
  <c r="B67" i="3"/>
  <c r="F67" i="3" s="1"/>
  <c r="B35" i="3"/>
  <c r="F35" i="3" s="1"/>
  <c r="B78" i="3"/>
  <c r="F78" i="3" s="1"/>
  <c r="B73" i="3"/>
  <c r="F73" i="3" s="1"/>
  <c r="B17" i="3"/>
  <c r="F17" i="3" s="1"/>
  <c r="B13" i="3"/>
  <c r="F13" i="3" s="1"/>
  <c r="B71" i="3"/>
  <c r="F71" i="3" s="1"/>
  <c r="B19" i="3"/>
  <c r="F19" i="3" s="1"/>
  <c r="B8" i="3"/>
  <c r="F8" i="3" s="1"/>
  <c r="B74" i="3"/>
  <c r="F74" i="3" s="1"/>
  <c r="B79" i="3"/>
  <c r="F79" i="3" s="1"/>
  <c r="B27" i="3"/>
  <c r="F27" i="3" s="1"/>
  <c r="B6" i="3"/>
  <c r="F6" i="3" s="1"/>
  <c r="B84" i="3"/>
  <c r="F84" i="3" s="1"/>
  <c r="B92" i="3"/>
  <c r="F92" i="3" s="1"/>
  <c r="B91" i="3"/>
  <c r="F91" i="3" s="1"/>
  <c r="B37" i="3"/>
  <c r="F37" i="3" s="1"/>
  <c r="B47" i="3"/>
  <c r="F47" i="3" s="1"/>
  <c r="B48" i="3"/>
  <c r="F48" i="3" s="1"/>
  <c r="B93" i="3"/>
  <c r="F93" i="3" s="1"/>
  <c r="B97" i="3"/>
  <c r="F97" i="3" s="1"/>
  <c r="B98" i="3"/>
  <c r="F98" i="3" s="1"/>
  <c r="B45" i="3"/>
  <c r="F45" i="3" s="1"/>
  <c r="B90" i="3"/>
  <c r="F90" i="3" s="1"/>
  <c r="B96" i="3"/>
  <c r="F96" i="3" s="1"/>
  <c r="B50" i="3"/>
  <c r="F50" i="3" s="1"/>
  <c r="B23" i="3"/>
  <c r="F23" i="3" s="1"/>
  <c r="B30" i="3"/>
  <c r="F30" i="3" s="1"/>
  <c r="B29" i="3"/>
  <c r="F29" i="3" s="1"/>
  <c r="B70" i="3"/>
  <c r="F70" i="3" s="1"/>
  <c r="B14" i="3"/>
  <c r="F14" i="3" s="1"/>
  <c r="B65" i="3"/>
  <c r="F65" i="3" s="1"/>
  <c r="B46" i="3"/>
  <c r="F46" i="3" s="1"/>
  <c r="B36" i="3"/>
  <c r="F36" i="3" s="1"/>
  <c r="B28" i="3"/>
  <c r="F28" i="3" s="1"/>
  <c r="B32" i="3"/>
  <c r="F32" i="3"/>
  <c r="B68" i="3"/>
  <c r="F68" i="3" s="1"/>
  <c r="B94" i="3"/>
  <c r="F94" i="3" s="1"/>
  <c r="B99" i="3"/>
  <c r="F99" i="3" s="1"/>
  <c r="B4" i="3"/>
  <c r="F4" i="3" s="1"/>
  <c r="B88" i="3"/>
  <c r="F88" i="3" s="1"/>
  <c r="B66" i="3"/>
  <c r="F66" i="3" s="1"/>
  <c r="B106" i="3"/>
  <c r="F106" i="3" s="1"/>
  <c r="B101" i="3"/>
  <c r="F101" i="3" s="1"/>
  <c r="B102" i="3"/>
  <c r="F102" i="3" s="1"/>
  <c r="B103" i="3"/>
  <c r="F103" i="3" s="1"/>
  <c r="B3" i="3"/>
  <c r="F3" i="3" s="1"/>
  <c r="B104" i="3"/>
  <c r="F104" i="3" s="1"/>
  <c r="H25" i="3" l="1"/>
  <c r="H27" i="3"/>
  <c r="H26" i="3"/>
  <c r="H28" i="3"/>
  <c r="H2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3D4E52-A801-1541-ABB4-083C4EF9383F}" keepAlive="1" name="Requête - Données" description="Connexion à la requête « Données » dans le classeur." type="5" refreshedVersion="8" background="1" saveData="1">
    <dbPr connection="Provider=Microsoft.Mashup.OleDb.1;Data Source=$Workbook$;Location=Données;Extended Properties=&quot;&quot;" command="SELECT * FROM [Données]"/>
  </connection>
</connections>
</file>

<file path=xl/sharedStrings.xml><?xml version="1.0" encoding="utf-8"?>
<sst xmlns="http://schemas.openxmlformats.org/spreadsheetml/2006/main" count="865" uniqueCount="616">
  <si>
    <t>01 - Ain</t>
  </si>
  <si>
    <t>02 - Aisne</t>
  </si>
  <si>
    <t>03 - Allier</t>
  </si>
  <si>
    <t>04 - Alpes-de-Haute-Provence</t>
  </si>
  <si>
    <t>05 - Hautes-Alpes</t>
  </si>
  <si>
    <t>06 - Alpes-Maritimes</t>
  </si>
  <si>
    <t>07 - Ardèche</t>
  </si>
  <si>
    <t>08 - Ardennes</t>
  </si>
  <si>
    <t>09 - Ariège</t>
  </si>
  <si>
    <t>10 - Aube</t>
  </si>
  <si>
    <t>11 - Aude</t>
  </si>
  <si>
    <t>12 - Aveyron</t>
  </si>
  <si>
    <t>13 - Bouches-du-Rhône</t>
  </si>
  <si>
    <t>14 - Calvados</t>
  </si>
  <si>
    <t>15 - Cantal</t>
  </si>
  <si>
    <t>16 - Charente</t>
  </si>
  <si>
    <t>17 - Charente-Maritime</t>
  </si>
  <si>
    <t>18 - Cher</t>
  </si>
  <si>
    <t>19 - Corrèze</t>
  </si>
  <si>
    <t>21 - Côte-d'Or</t>
  </si>
  <si>
    <t>22 - Côtes-d'Armor</t>
  </si>
  <si>
    <t>23 - Creuse</t>
  </si>
  <si>
    <t>24 - Dordogne</t>
  </si>
  <si>
    <t>25 - Doubs</t>
  </si>
  <si>
    <t>26 - Drôme</t>
  </si>
  <si>
    <t>27 - Eure</t>
  </si>
  <si>
    <t>28 - Eure-et-Loir</t>
  </si>
  <si>
    <t>29 - Finistère</t>
  </si>
  <si>
    <t>2A - Corse-du-Sud</t>
  </si>
  <si>
    <t>2B - Haute-Corse</t>
  </si>
  <si>
    <t>30 - Gard</t>
  </si>
  <si>
    <t>31 - Haute-Garonne</t>
  </si>
  <si>
    <t>32 - Gers</t>
  </si>
  <si>
    <t>33 - Gironde</t>
  </si>
  <si>
    <t>34 - Hérault</t>
  </si>
  <si>
    <t>35 - Ille-et-Vilaine</t>
  </si>
  <si>
    <t>36 - Indre</t>
  </si>
  <si>
    <t>37 - Indre-et-Loire</t>
  </si>
  <si>
    <t>38 - Isère</t>
  </si>
  <si>
    <t>39 - Jura</t>
  </si>
  <si>
    <t>40 - Landes</t>
  </si>
  <si>
    <t>41 - Loir-et-Cher</t>
  </si>
  <si>
    <t>42 - Loire</t>
  </si>
  <si>
    <t>43 - Haute-Loire</t>
  </si>
  <si>
    <t>44 - Loire-Atlantique</t>
  </si>
  <si>
    <t>45 - Loiret</t>
  </si>
  <si>
    <t>46 - Lot</t>
  </si>
  <si>
    <t>47 - Lot-et-Garonne</t>
  </si>
  <si>
    <t>48 - Lozère</t>
  </si>
  <si>
    <t>49 - Maine-et-Loire</t>
  </si>
  <si>
    <t>50 - Manche</t>
  </si>
  <si>
    <t>51 - Marne</t>
  </si>
  <si>
    <t>52 - Haute-Marne</t>
  </si>
  <si>
    <t>53 - Mayenne</t>
  </si>
  <si>
    <t>54 - Meurthe-et-Moselle</t>
  </si>
  <si>
    <t>55 - Meuse</t>
  </si>
  <si>
    <t>56 - Morbihan</t>
  </si>
  <si>
    <t>57 - Moselle</t>
  </si>
  <si>
    <t>58 - Nièvre</t>
  </si>
  <si>
    <t>59 - Nord</t>
  </si>
  <si>
    <t>60 - Oise</t>
  </si>
  <si>
    <t>61 - Orne</t>
  </si>
  <si>
    <t>62 - Pas-de-Calais</t>
  </si>
  <si>
    <t>63 - Puy-de-Dôme</t>
  </si>
  <si>
    <t>64 - Pyrénées-Atlantiques</t>
  </si>
  <si>
    <t>65 - Hautes-Pyrénées</t>
  </si>
  <si>
    <t>66 - Pyrénées-Orientales</t>
  </si>
  <si>
    <t>67 - Bas-Rhin</t>
  </si>
  <si>
    <t>68 - Haut-Rhin</t>
  </si>
  <si>
    <t>69 - Rhône</t>
  </si>
  <si>
    <t>70 - Haute-Saône</t>
  </si>
  <si>
    <t>71 - Saône-et-Loire</t>
  </si>
  <si>
    <t>72 - Sarthe</t>
  </si>
  <si>
    <t>73 - Savoie</t>
  </si>
  <si>
    <t>74 - Haute-Savoie</t>
  </si>
  <si>
    <t>75 - Paris</t>
  </si>
  <si>
    <t>76 - Seine-Maritime</t>
  </si>
  <si>
    <t>77 - Seine-et-Marne</t>
  </si>
  <si>
    <t>78 - Yvelines</t>
  </si>
  <si>
    <t>79 - Deux-Sèvres</t>
  </si>
  <si>
    <t>80 - Somme</t>
  </si>
  <si>
    <t>81 - Tarn</t>
  </si>
  <si>
    <t>82 - Tarn-et-Garonne</t>
  </si>
  <si>
    <t>83 - Var</t>
  </si>
  <si>
    <t>84 - Vaucluse</t>
  </si>
  <si>
    <t>85 - Vendée</t>
  </si>
  <si>
    <t>86 - Vienne</t>
  </si>
  <si>
    <t>87 - Haute-Vienne</t>
  </si>
  <si>
    <t>88 - Vosges</t>
  </si>
  <si>
    <t>89 - Yonne</t>
  </si>
  <si>
    <t>90 - Territoire de Belfort</t>
  </si>
  <si>
    <t>91 - Essonne</t>
  </si>
  <si>
    <t>92 - Hauts-de-Seine</t>
  </si>
  <si>
    <t>93 - Seine-Saint-Denis</t>
  </si>
  <si>
    <t>94 - Val-de-Marne</t>
  </si>
  <si>
    <t>95 - Val-d'Oise</t>
  </si>
  <si>
    <t>Total Métropole</t>
  </si>
  <si>
    <t>971 - Guadeloupe</t>
  </si>
  <si>
    <t>972 - Martinique</t>
  </si>
  <si>
    <t>973 - Guyane</t>
  </si>
  <si>
    <t>974 - La Réunion</t>
  </si>
  <si>
    <t>976 - Mayotte</t>
  </si>
  <si>
    <t>Total DROM</t>
  </si>
  <si>
    <t>Total Métropole+DROM</t>
  </si>
  <si>
    <t>975 - St-Pierre-et-Miquelon</t>
  </si>
  <si>
    <t>977 - St-Barthélemy</t>
  </si>
  <si>
    <t>978 - St-Martin</t>
  </si>
  <si>
    <t>986 - Wallis-et-Futuna</t>
  </si>
  <si>
    <t>987 - Polynésie Française</t>
  </si>
  <si>
    <t>988 - Nouvelle-Calédonie</t>
  </si>
  <si>
    <t>Total COM</t>
  </si>
  <si>
    <t>980 - Monaco</t>
  </si>
  <si>
    <t>Etranger</t>
  </si>
  <si>
    <t>Non réparti</t>
  </si>
  <si>
    <t>Total</t>
  </si>
  <si>
    <t>nd</t>
  </si>
  <si>
    <t>Population départementale</t>
  </si>
  <si>
    <t>% Population départementale</t>
  </si>
  <si>
    <t>5b. Licences annuelles par département pour la saison 2024 ou 2023/2024</t>
  </si>
  <si>
    <t>Données au 15/07/2025</t>
  </si>
  <si>
    <t>Source : Recensement des licences et clubs, INJEP-MEDES</t>
  </si>
  <si>
    <t>2A</t>
  </si>
  <si>
    <t>2B</t>
  </si>
  <si>
    <t>Ain</t>
  </si>
  <si>
    <t>Aisne</t>
  </si>
  <si>
    <t>Allier</t>
  </si>
  <si>
    <t>Alpes-de-Haute-Provence</t>
  </si>
  <si>
    <t>Hautes-Alpes</t>
  </si>
  <si>
    <t>Alpes-Maritimes</t>
  </si>
  <si>
    <t>Ardèche</t>
  </si>
  <si>
    <t>Ardennes</t>
  </si>
  <si>
    <t>Ariège</t>
  </si>
  <si>
    <t>Aube</t>
  </si>
  <si>
    <t>Aude</t>
  </si>
  <si>
    <t>Aveyron</t>
  </si>
  <si>
    <t>Bouches-du-Rhône</t>
  </si>
  <si>
    <t>Calvados</t>
  </si>
  <si>
    <t>Cantal</t>
  </si>
  <si>
    <t>Charente</t>
  </si>
  <si>
    <t>Charente-Maritime</t>
  </si>
  <si>
    <t>Cher</t>
  </si>
  <si>
    <t>Corrèze</t>
  </si>
  <si>
    <t>Côte-d'Or</t>
  </si>
  <si>
    <t>Côtes-d'Armor</t>
  </si>
  <si>
    <t>Creuse</t>
  </si>
  <si>
    <t>Dordogne</t>
  </si>
  <si>
    <t>Doubs</t>
  </si>
  <si>
    <t>Drôme</t>
  </si>
  <si>
    <t>Eure</t>
  </si>
  <si>
    <t>Eure-et-Loir</t>
  </si>
  <si>
    <t>Finistère</t>
  </si>
  <si>
    <t>Corse-du-Sud</t>
  </si>
  <si>
    <t>Haute-Corse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</si>
  <si>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</si>
  <si>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</si>
  <si>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</si>
  <si>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</si>
  <si>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</si>
  <si>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</si>
  <si>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</si>
  <si>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</si>
  <si>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Isère</t>
  </si>
  <si>
    <t>Jura</t>
  </si>
  <si>
    <t>Landes</t>
  </si>
  <si>
    <t>Loir-et-Cher</t>
  </si>
  <si>
    <t>Loire</t>
  </si>
  <si>
    <t>Haute-Loire</t>
  </si>
  <si>
    <t>Loire-Atlantique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</si>
  <si>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</si>
  <si>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</si>
  <si>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</si>
  <si>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</si>
  <si>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</si>
  <si>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</si>
  <si>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</si>
  <si>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</si>
  <si>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</si>
  <si>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</si>
  <si>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</si>
  <si>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</si>
  <si>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</si>
  <si>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</si>
  <si>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</si>
  <si>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</si>
  <si>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</si>
  <si>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</si>
  <si>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</si>
  <si>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Pyrénées-Atlantiques</t>
  </si>
  <si>
    <t>Hautes-Pyrénées</t>
  </si>
  <si>
    <t>Pyrénées-Orientales</t>
  </si>
  <si>
    <t>Bas-Rhin</t>
  </si>
  <si>
    <t>Haut-Rhin</t>
  </si>
  <si>
    <t>Rhône</t>
  </si>
  <si>
    <t>Haute-Saône</t>
  </si>
  <si>
    <t>Saône-et-Loire</t>
  </si>
  <si>
    <t>Sarthe</t>
  </si>
  <si>
    <t>Savoie</t>
  </si>
  <si>
    <t>Haute-Savoie</t>
  </si>
  <si>
    <t>Paris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</si>
  <si>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</si>
  <si>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</si>
  <si>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</si>
  <si>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</si>
  <si>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</si>
  <si>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</si>
  <si>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</si>
  <si>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</si>
  <si>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</si>
  <si>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</si>
  <si>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</si>
  <si>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</si>
  <si>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</si>
  <si>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</si>
  <si>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 de Belfort</t>
  </si>
  <si>
    <t>Essonne</t>
  </si>
  <si>
    <t>Hauts-de-Seine</t>
  </si>
  <si>
    <t>Seine-Saint-Denis</t>
  </si>
  <si>
    <t>Val-de-Marne</t>
  </si>
  <si>
    <t>Val-d'Oise</t>
  </si>
  <si>
    <t>Code département</t>
  </si>
  <si>
    <t>Dep</t>
  </si>
  <si>
    <t>Niveau de vie annuel médian en 2023</t>
  </si>
  <si>
    <t>en euros</t>
  </si>
  <si>
    <t>Département</t>
  </si>
  <si>
    <t>Niveau de vie annuel médian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</si>
  <si>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</si>
  <si>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</si>
  <si>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</si>
  <si>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</si>
  <si>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</si>
  <si>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</si>
  <si>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</si>
  <si>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</si>
  <si>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</si>
  <si>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</si>
  <si>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</si>
  <si>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</si>
  <si>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</si>
  <si>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</si>
  <si>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</si>
  <si>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</si>
  <si>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</si>
  <si>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</si>
  <si>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</si>
  <si>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</si>
  <si>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</si>
  <si>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</si>
  <si>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</si>
  <si>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</si>
  <si>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</si>
  <si>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</si>
  <si>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</si>
  <si>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</si>
  <si>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</si>
  <si>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</si>
  <si>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</si>
  <si>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</si>
  <si>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</si>
  <si>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</si>
  <si>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</si>
  <si>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</si>
  <si>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</si>
  <si>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</si>
  <si>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</si>
  <si>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</si>
  <si>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</si>
  <si>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</si>
  <si>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</si>
  <si>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</si>
  <si>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</si>
  <si>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</si>
  <si>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</si>
  <si>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</si>
  <si>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</si>
  <si>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</si>
  <si>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</si>
  <si>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</si>
  <si>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</si>
  <si>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</si>
  <si>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</si>
  <si>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</si>
  <si>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</si>
  <si>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</si>
  <si>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</si>
  <si>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</si>
  <si>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</si>
  <si>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</si>
  <si>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</si>
  <si>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</si>
  <si>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</si>
  <si>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</si>
  <si>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</si>
  <si>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</si>
  <si>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</si>
  <si>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</si>
  <si>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</si>
  <si>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</si>
  <si>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</si>
  <si>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</si>
  <si>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</si>
  <si>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</si>
  <si>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</si>
  <si>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</si>
  <si>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</si>
  <si>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</si>
  <si>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</si>
  <si>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</si>
  <si>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</si>
  <si>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</si>
  <si>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</si>
  <si>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</si>
  <si>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</si>
  <si>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</si>
  <si>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</si>
  <si>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</si>
  <si>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</si>
  <si>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</si>
  <si>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</si>
  <si>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</si>
  <si>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974</t>
  </si>
  <si>
    <t>La Réunion</t>
  </si>
  <si>
    <t>Lecture : en 2023, dans l'Ain, la moitié de la population a un niveau de vie inférieur à 27 990 euros.</t>
  </si>
  <si>
    <t>Champ : France métropolitaine et La Réunion ; personnes appartenant à des ménages fiscaux vivant dans un logement ordinaire dont le revenu disponible est positif ou nul.</t>
  </si>
  <si>
    <t>Source : Insee-DGFiP-Cnaf-Cnav-CCMSA, Fichier localisé social et fiscal (Filosofi) 2023.</t>
  </si>
  <si>
    <t>Groupe</t>
  </si>
  <si>
    <t>Code</t>
  </si>
  <si>
    <t>Fédération</t>
  </si>
  <si>
    <t>1. Olympique(38)</t>
  </si>
  <si>
    <t>111</t>
  </si>
  <si>
    <t>Fédération Française de Football</t>
  </si>
  <si>
    <t>123</t>
  </si>
  <si>
    <t>Fédération Française de Tennis</t>
  </si>
  <si>
    <t>109</t>
  </si>
  <si>
    <t>Fédération Française d'Équitation</t>
  </si>
  <si>
    <t>105</t>
  </si>
  <si>
    <t>Fédération Française de Basketball</t>
  </si>
  <si>
    <t>115</t>
  </si>
  <si>
    <t>Fédération Française de Handball</t>
  </si>
  <si>
    <t>117</t>
  </si>
  <si>
    <t>Fédération Française de Judo, Jujitsu, Kendo et Disciplines Associées</t>
  </si>
  <si>
    <t>132</t>
  </si>
  <si>
    <t>Fédération Française de Golf</t>
  </si>
  <si>
    <t>133</t>
  </si>
  <si>
    <t>Fédération Française de Rugby</t>
  </si>
  <si>
    <t>119</t>
  </si>
  <si>
    <t>Fédération Française de Natation</t>
  </si>
  <si>
    <t>113</t>
  </si>
  <si>
    <t>Fédération Française de Gymnastique</t>
  </si>
  <si>
    <t>101</t>
  </si>
  <si>
    <t>Fédération Française d'Athlétisme</t>
  </si>
  <si>
    <t>128</t>
  </si>
  <si>
    <t>Fédération Française de Voile</t>
  </si>
  <si>
    <t>125</t>
  </si>
  <si>
    <t>Fédération Française de Tir</t>
  </si>
  <si>
    <t>103</t>
  </si>
  <si>
    <t>Fédération Française de Badminton</t>
  </si>
  <si>
    <t>124</t>
  </si>
  <si>
    <t>Fédération Française de Tennis de Table</t>
  </si>
  <si>
    <t>129</t>
  </si>
  <si>
    <t>Fédération Française de Volley</t>
  </si>
  <si>
    <t>135</t>
  </si>
  <si>
    <t>Fédération Française de la Montagne et de l'Escalade</t>
  </si>
  <si>
    <t>108</t>
  </si>
  <si>
    <t>Fédération Française de Cyclisme</t>
  </si>
  <si>
    <t>139</t>
  </si>
  <si>
    <t>Fédération Française de Danse</t>
  </si>
  <si>
    <t>121</t>
  </si>
  <si>
    <t>Fédération Française de Ski</t>
  </si>
  <si>
    <t>126</t>
  </si>
  <si>
    <t>Fédération Française de Tir à l'Arc</t>
  </si>
  <si>
    <t>136</t>
  </si>
  <si>
    <t>Fédération Française de Roller et Skateboard</t>
  </si>
  <si>
    <t>106</t>
  </si>
  <si>
    <t>Fédération Française de Boxe</t>
  </si>
  <si>
    <t>127</t>
  </si>
  <si>
    <t>Fédération Française de Triathlon et Disciplines Enchainées</t>
  </si>
  <si>
    <t>110</t>
  </si>
  <si>
    <t>Fédération Française d'Escrime</t>
  </si>
  <si>
    <t>122</t>
  </si>
  <si>
    <t>Fédération Française de Taekwondo et Disciplines Associées</t>
  </si>
  <si>
    <t>102</t>
  </si>
  <si>
    <t>Fédération Française d'Aviron</t>
  </si>
  <si>
    <t>107</t>
  </si>
  <si>
    <t>Fédération Française de Canoë-Kayak et Sports de Pagaie</t>
  </si>
  <si>
    <t>118</t>
  </si>
  <si>
    <t>Fédération Française de Lutte</t>
  </si>
  <si>
    <t>112</t>
  </si>
  <si>
    <t>Fédération Française des Sports de Glace</t>
  </si>
  <si>
    <t>131</t>
  </si>
  <si>
    <t>Fédération Française de Hockey sur Glace</t>
  </si>
  <si>
    <t>114</t>
  </si>
  <si>
    <t>Fédération Française d'Haltérophilie, Musculation</t>
  </si>
  <si>
    <t>141</t>
  </si>
  <si>
    <t>Fédération Française de Squash</t>
  </si>
  <si>
    <t>140</t>
  </si>
  <si>
    <t>Fédération Française de Football Américain</t>
  </si>
  <si>
    <t>116</t>
  </si>
  <si>
    <t>Fédération Française de Hockey</t>
  </si>
  <si>
    <t>137</t>
  </si>
  <si>
    <t>Fédération Française de Surf</t>
  </si>
  <si>
    <t>138</t>
  </si>
  <si>
    <t>Fédération Française de Baseball, Softball</t>
  </si>
  <si>
    <t>120</t>
  </si>
  <si>
    <t>Fédération Française de Pentathlon Moderne</t>
  </si>
  <si>
    <t>2. Délégataire non-olympique(54)</t>
  </si>
  <si>
    <t>242</t>
  </si>
  <si>
    <t>Fédération Française de Pétanque et Jeu Provençal</t>
  </si>
  <si>
    <t>229</t>
  </si>
  <si>
    <t>Fédération Française de Karaté et Disciplines Associées</t>
  </si>
  <si>
    <t>245</t>
  </si>
  <si>
    <t>Fédération Française de la Randonnée Pédestre</t>
  </si>
  <si>
    <t>221</t>
  </si>
  <si>
    <t>Fédération Française d'Études et Sports Sous-Marins</t>
  </si>
  <si>
    <t>271</t>
  </si>
  <si>
    <t>Fédération Française des Clubs Alpins et de Montagne</t>
  </si>
  <si>
    <t>218</t>
  </si>
  <si>
    <t>Fédération Française de Cyclotourisme</t>
  </si>
  <si>
    <t>220</t>
  </si>
  <si>
    <t>Fédération Française des Échecs</t>
  </si>
  <si>
    <t>249</t>
  </si>
  <si>
    <t>Fédération Française de Sauvetage et de Secourisme</t>
  </si>
  <si>
    <t>261</t>
  </si>
  <si>
    <t>Fédération Française de Kick Boxing, Muay Thaï et Disciplines Associées</t>
  </si>
  <si>
    <t>233</t>
  </si>
  <si>
    <t>Fédération Française de Motocyclisme</t>
  </si>
  <si>
    <t>212</t>
  </si>
  <si>
    <t>Fédération Française de Savate, Boxe Française et Disciplines Associées</t>
  </si>
  <si>
    <t>206</t>
  </si>
  <si>
    <t>Fédération Française du Sport Automobile</t>
  </si>
  <si>
    <t>211</t>
  </si>
  <si>
    <t>Fédération Française du Sport Boules</t>
  </si>
  <si>
    <t>202</t>
  </si>
  <si>
    <t>Fédération Française Aéronautique</t>
  </si>
  <si>
    <t>258</t>
  </si>
  <si>
    <t>Fédération Française de Vol Libre</t>
  </si>
  <si>
    <t>209</t>
  </si>
  <si>
    <t>Fédération Française de Ball-Trap</t>
  </si>
  <si>
    <t>256</t>
  </si>
  <si>
    <t>Fédération Française Sportive de Twirling Bâton</t>
  </si>
  <si>
    <t>201</t>
  </si>
  <si>
    <t>Fédération Française d'Aéromodélisme</t>
  </si>
  <si>
    <t>204</t>
  </si>
  <si>
    <t>Fédération Française d'Aïkido, d'Aïkibudo et Affinitaires</t>
  </si>
  <si>
    <t>205</t>
  </si>
  <si>
    <t>Fédération Française d'Aïkido et de Budo</t>
  </si>
  <si>
    <t>254</t>
  </si>
  <si>
    <t>Fédération des Arts Énergétiques et Martiaux Chinois</t>
  </si>
  <si>
    <t>213</t>
  </si>
  <si>
    <t>Fédération Française de Bowling et de Sport de Quilles</t>
  </si>
  <si>
    <t>210</t>
  </si>
  <si>
    <t>Fédération Française de Billard</t>
  </si>
  <si>
    <t>243</t>
  </si>
  <si>
    <t>Fédération Française de Planeur Ultraléger Motorisé</t>
  </si>
  <si>
    <t>241</t>
  </si>
  <si>
    <t>Fédération Française de Pelote Basque</t>
  </si>
  <si>
    <t>237</t>
  </si>
  <si>
    <t>Fédération Française de Parachutisme</t>
  </si>
  <si>
    <t>257</t>
  </si>
  <si>
    <t>Fédération Française de Vol en Planeur</t>
  </si>
  <si>
    <t>248</t>
  </si>
  <si>
    <t>Fédération Française de Rugby à XIII</t>
  </si>
  <si>
    <t>266</t>
  </si>
  <si>
    <t>Fédération Française de Force</t>
  </si>
  <si>
    <t>217</t>
  </si>
  <si>
    <t>Fédération Française de Course d'Orientation</t>
  </si>
  <si>
    <t>267</t>
  </si>
  <si>
    <t>Fédération Française des Pêches Sportives</t>
  </si>
  <si>
    <t>250</t>
  </si>
  <si>
    <t>Fédération Française de Ski Nautique et de Wakeboard</t>
  </si>
  <si>
    <t>251</t>
  </si>
  <si>
    <t>Fédération Française de Spéléologie</t>
  </si>
  <si>
    <t>269</t>
  </si>
  <si>
    <t>Fédération de Voitures Radio Commandées</t>
  </si>
  <si>
    <t>264</t>
  </si>
  <si>
    <t>Fédération Française de Flying Disc</t>
  </si>
  <si>
    <t>228</t>
  </si>
  <si>
    <t>Fédération Française de Joute et Sauvetage Nautique</t>
  </si>
  <si>
    <t>270</t>
  </si>
  <si>
    <t>Fédération Française des Sports et Loisirs Canins</t>
  </si>
  <si>
    <t>263</t>
  </si>
  <si>
    <t>Fédération de Double Dutch</t>
  </si>
  <si>
    <t>215</t>
  </si>
  <si>
    <t>Fédération Française de Course Camarguaise</t>
  </si>
  <si>
    <t>207</t>
  </si>
  <si>
    <t>Fédération Française de Jeu de Balle au Tambourin</t>
  </si>
  <si>
    <t>216</t>
  </si>
  <si>
    <t>Fédération Française de la Course Landaise</t>
  </si>
  <si>
    <t>214</t>
  </si>
  <si>
    <t>Fédération Française de Char à Voile</t>
  </si>
  <si>
    <t>265</t>
  </si>
  <si>
    <t>Fédération Française de Pêche Sportive en Apnée</t>
  </si>
  <si>
    <t>268</t>
  </si>
  <si>
    <t>Fédération de Boxe Américaine et Disciplines Associées</t>
  </si>
  <si>
    <t>260</t>
  </si>
  <si>
    <t>Fédération Française de Polo</t>
  </si>
  <si>
    <t>231</t>
  </si>
  <si>
    <t>Fédération Française de Longue Paume</t>
  </si>
  <si>
    <t>255</t>
  </si>
  <si>
    <t>Fédération Française des Sports de Traîneau, de Ski VTT Joëring et de Canicross</t>
  </si>
  <si>
    <t>226</t>
  </si>
  <si>
    <t>Fédération Française de Javelot Tir sur Cible</t>
  </si>
  <si>
    <t>203</t>
  </si>
  <si>
    <t>Fédération Française d'Aérostation</t>
  </si>
  <si>
    <t>227</t>
  </si>
  <si>
    <t>Fédération Française de Jeu de Paume</t>
  </si>
  <si>
    <t>208</t>
  </si>
  <si>
    <t>Fédération Française de Ballon au Poing</t>
  </si>
  <si>
    <t>nr</t>
  </si>
  <si>
    <t>234</t>
  </si>
  <si>
    <t>Fédération Française Motonautique</t>
  </si>
  <si>
    <t>244</t>
  </si>
  <si>
    <t>Fédération Française de Pulka et Traineau à Chiens</t>
  </si>
  <si>
    <t>224</t>
  </si>
  <si>
    <t>Fédération Française d’hélicoptère</t>
  </si>
  <si>
    <t>3. Affinitaire(18)</t>
  </si>
  <si>
    <t>402</t>
  </si>
  <si>
    <t>Fédération Française d'Éducation Physique et de Gymnastique Volontaire</t>
  </si>
  <si>
    <t>413</t>
  </si>
  <si>
    <t>Union Française des Œuvres Laïques d'Éducation Physique (UFOLEP)</t>
  </si>
  <si>
    <t>403</t>
  </si>
  <si>
    <t>Fédération Française Sports Pour Tous</t>
  </si>
  <si>
    <t>410</t>
  </si>
  <si>
    <t>Fédération Sportive et Gymnique du Travail</t>
  </si>
  <si>
    <t>408</t>
  </si>
  <si>
    <t>Fédération Sportive et Culturelle de France</t>
  </si>
  <si>
    <t>406</t>
  </si>
  <si>
    <t>Fédération des Clubs de la Défense</t>
  </si>
  <si>
    <t>420</t>
  </si>
  <si>
    <t>Fédération Sportive des ASPTT</t>
  </si>
  <si>
    <t>404</t>
  </si>
  <si>
    <t>Fédération Française de la Retraite Sportive</t>
  </si>
  <si>
    <t>407</t>
  </si>
  <si>
    <t>Fédération Nationale du Sport en Milieu Rural</t>
  </si>
  <si>
    <t>417</t>
  </si>
  <si>
    <t>Union Nationale Sportive Léo Lagrange</t>
  </si>
  <si>
    <t>411</t>
  </si>
  <si>
    <t>Fédération Sportive de la Police Nationale</t>
  </si>
  <si>
    <t>422</t>
  </si>
  <si>
    <t>Fédération Française des Clubs Omnisports</t>
  </si>
  <si>
    <t>418</t>
  </si>
  <si>
    <t>Fédération Française du Sport d'Entreprise</t>
  </si>
  <si>
    <t>405</t>
  </si>
  <si>
    <t>Fédération Française du Sport Travailliste</t>
  </si>
  <si>
    <t>409</t>
  </si>
  <si>
    <t>Fédération Française Maccabi</t>
  </si>
  <si>
    <t>415</t>
  </si>
  <si>
    <t>Fédération Française Omnisports des Personnels de l'Éducation Nationale</t>
  </si>
  <si>
    <t>424</t>
  </si>
  <si>
    <t>UCPA Sport Loisirs</t>
  </si>
  <si>
    <t>425</t>
  </si>
  <si>
    <t>UCPA Sport Vacances</t>
  </si>
  <si>
    <t>4. Para-sport(2)</t>
  </si>
  <si>
    <t>503</t>
  </si>
  <si>
    <t>Fédération Française du Sport Adapté</t>
  </si>
  <si>
    <t>501</t>
  </si>
  <si>
    <t>Fédération Française Handisport</t>
  </si>
  <si>
    <t>5. Scolaire(5)</t>
  </si>
  <si>
    <t>604</t>
  </si>
  <si>
    <t>Union Nationale du Sport Scolaire (UNSS)</t>
  </si>
  <si>
    <t>602</t>
  </si>
  <si>
    <t>Fédération Sportive Educative de l'Enseignement Catholique (UGSEL)</t>
  </si>
  <si>
    <t>605</t>
  </si>
  <si>
    <t>Union Sportive de l'Enseignement du Premier Degré</t>
  </si>
  <si>
    <t>601</t>
  </si>
  <si>
    <t>Fédération Française du Sport Universitaire</t>
  </si>
  <si>
    <t>603</t>
  </si>
  <si>
    <t>Fédération Française des Clubs Universitaires</t>
  </si>
  <si>
    <t/>
  </si>
  <si>
    <t>Notes</t>
  </si>
  <si>
    <t>Données non disponibles</t>
  </si>
  <si>
    <t>Données non réparties</t>
  </si>
  <si>
    <t>Population</t>
  </si>
  <si>
    <t>Estimation au 1er janvier 2024 (INSEE, 2025)</t>
  </si>
  <si>
    <t>Correction de la non réponse pour le département</t>
  </si>
  <si>
    <t>1. Utilisation de l'adresse du club (addresse de pratique si disponible, siège sinon).
2. Application d'un hotdeck hiérarchisé en fonction des grandes tranches d'âges: 1-13 ans, 14-20 ans, 21-54 ans, 55-99 ans, sous réserve que le taux de non réponse pour la région demeure acceptable pour la fédération.</t>
  </si>
  <si>
    <t>Guadeloupe, Martinique, Guyane et Mayotte exclus de l'analyse en raison de données de revenu médian indisponibles dans la source INSEE-Filosofi utilisée</t>
  </si>
  <si>
    <t>Licxences</t>
  </si>
  <si>
    <t>Revenu median</t>
  </si>
  <si>
    <t>Covariance</t>
  </si>
  <si>
    <t>Coeff de determina° (R²)</t>
  </si>
  <si>
    <t>Ordonnée (a)</t>
  </si>
  <si>
    <t>Pente</t>
  </si>
  <si>
    <t>Coefficient Pearson</t>
  </si>
  <si>
    <t>Lecture</t>
  </si>
  <si>
    <t xml:space="preserve">Revenu median explique 1,5% de la variation du taux de pratique </t>
  </si>
  <si>
    <t>Valeur</t>
  </si>
  <si>
    <t>Indicateurs (quanti x quanti)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</si>
  <si>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</si>
  <si>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</si>
  <si>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</si>
  <si>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</si>
  <si>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</si>
  <si>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</si>
  <si>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</si>
  <si>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</si>
  <si>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</si>
  <si>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</si>
  <si>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</si>
  <si>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</si>
  <si>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</si>
  <si>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</si>
  <si>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</si>
  <si>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</si>
  <si>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</si>
  <si>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</si>
  <si>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</si>
  <si>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</si>
  <si>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</si>
  <si>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Variable X 1</t>
  </si>
  <si>
    <t>Part de Population départementale</t>
  </si>
  <si>
    <t>RAPPORT DÉTAILLÉ (ToolPak)</t>
  </si>
  <si>
    <t xml:space="preserve">Observations </t>
  </si>
  <si>
    <t>A l'chelle départemental, le revenu médian n'a pas d'effet statistique significatif sur le taux de pratique sportive licenciée (p = 0,237, R² = 0,015). Ce résultat s'explique peut être par le fait que le taux de pratique agrège des fédérations aux profils socio-économiques très différents, diluant possiblement l'effet du revenu qui pourrait exister sport par sport.</t>
  </si>
  <si>
    <t>Positive,Faible, quasi nulle</t>
  </si>
  <si>
    <t xml:space="preserve">Positive, les variables varient dans le même sens </t>
  </si>
  <si>
    <t>Pour 5000€ de revenu médian en plus, le taux de pratique sportive licenciée augmente ~ 1,1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</si>
</sst>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0"/>
    <numFmt numFmtId="165" formatCode="0.0%"/>
  </numFmts>
  <fonts count="26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rgb="FF000080"/>
      <name val="Calibri"/>
      <family val="2"/>
    </font>
    <font>
      <b/>
      <sz val="11"/>
      <color rgb="FF800000"/>
      <name val="Arial"/>
      <family val="2"/>
      <charset val="1"/>
    </font>
    <font>
      <sz val="10"/>
      <color rgb="FF7030A0"/>
      <name val="Arial"/>
      <family val="2"/>
      <charset val="1"/>
    </font>
    <font>
      <i/>
      <sz val="8"/>
      <color rgb="FF000000"/>
      <name val="Arial"/>
      <family val="2"/>
      <charset val="1"/>
    </font>
    <font>
      <sz val="10"/>
      <name val="Arial"/>
      <family val="2"/>
      <charset val="1"/>
    </font>
    <font>
      <sz val="8"/>
      <name val="Arial"/>
      <family val="2"/>
      <charset val="1"/>
    </font>
    <font>
      <b/>
      <sz val="10"/>
      <name val="Arial"/>
      <family val="2"/>
      <charset val="1"/>
    </font>
    <font>
      <sz val="11"/>
      <color theme="1"/>
      <name val="Aptos Narrow"/>
      <family val="2"/>
      <scheme val="minor"/>
    </font>
    <font>
      <b/>
      <sz val="11"/>
      <color rgb="FF0000FF"/>
      <name val="Calibri"/>
      <family val="2"/>
    </font>
    <font>
      <sz val="11"/>
      <color theme="1"/>
      <name val="Calibri"/>
      <family val="2"/>
    </font>
    <font>
      <b/>
      <sz val="10"/>
      <color theme="0"/>
      <name val="Arial"/>
      <family val="2"/>
      <charset val="1"/>
    </font>
    <font>
      <sz val="8"/>
      <name val="Aptos Narrow"/>
      <family val="2"/>
      <scheme val="minor"/>
    </font>
    <font>
      <sz val="9"/>
      <color theme="1"/>
      <name val="Aptos Narrow (Corps)"/>
    </font>
    <font>
      <sz val="9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name val="Calibri"/>
      <family val="2"/>
    </font>
    <font>
      <sz val="10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  <font>
      <i/>
      <sz val="12"/>
      <color theme="1"/>
      <name val="Aptos Narrow"/>
      <scheme val="minor"/>
    </font>
    <font>
      <i/>
      <sz val="12"/>
      <color theme="0"/>
      <name val="Aptos Narrow"/>
      <family val="2"/>
      <scheme val="minor"/>
    </font>
    <font>
      <i/>
      <sz val="9"/>
      <color theme="0"/>
      <name val="Aptos Narrow"/>
      <family val="2"/>
      <scheme val="minor"/>
    </font>
    <font>
      <b/>
      <i/>
      <sz val="11"/>
      <color theme="0"/>
      <name val="Calibri"/>
      <family val="2"/>
    </font>
    <font>
      <sz val="10"/>
      <color rgb="FF000000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0" fontId="6" fillId="0" borderId="0" applyBorder="0" applyProtection="0"/>
    <xf numFmtId="0" fontId="9" fillId="0" borderId="0"/>
  </cellStyleXfs>
  <cellXfs count="67">
    <xf numFmtId="0" fontId="0" fillId="0" borderId="0" xfId="0"/>
    <xf numFmtId="0" fontId="6" fillId="0" borderId="0" xfId="1"/>
    <xf numFmtId="3" fontId="6" fillId="0" borderId="0" xfId="1" applyNumberFormat="1" applyAlignment="1">
      <alignment horizontal="right" vertical="center"/>
    </xf>
    <xf numFmtId="0" fontId="6" fillId="0" borderId="0" xfId="2" applyBorder="1" applyAlignment="1" applyProtection="1">
      <alignment horizontal="left" vertical="center"/>
    </xf>
    <xf numFmtId="0" fontId="9" fillId="0" borderId="0" xfId="3" applyAlignment="1">
      <alignment horizontal="left"/>
    </xf>
    <xf numFmtId="0" fontId="7" fillId="0" borderId="0" xfId="3" applyFont="1" applyAlignment="1">
      <alignment horizontal="left"/>
    </xf>
    <xf numFmtId="0" fontId="1" fillId="2" borderId="1" xfId="3" applyFont="1" applyFill="1" applyBorder="1" applyAlignment="1">
      <alignment horizontal="center" vertical="center" wrapText="1"/>
    </xf>
    <xf numFmtId="0" fontId="9" fillId="0" borderId="0" xfId="3"/>
    <xf numFmtId="164" fontId="10" fillId="0" borderId="2" xfId="3" applyNumberFormat="1" applyFont="1" applyBorder="1" applyAlignment="1">
      <alignment horizontal="center"/>
    </xf>
    <xf numFmtId="164" fontId="10" fillId="0" borderId="3" xfId="3" applyNumberFormat="1" applyFont="1" applyBorder="1" applyAlignment="1">
      <alignment horizontal="center"/>
    </xf>
    <xf numFmtId="0" fontId="11" fillId="0" borderId="8" xfId="3" applyFont="1" applyBorder="1"/>
    <xf numFmtId="0" fontId="11" fillId="0" borderId="9" xfId="3" applyFont="1" applyBorder="1"/>
    <xf numFmtId="0" fontId="11" fillId="0" borderId="10" xfId="3" applyFont="1" applyBorder="1"/>
    <xf numFmtId="164" fontId="11" fillId="0" borderId="1" xfId="3" applyNumberFormat="1" applyFont="1" applyBorder="1" applyAlignment="1">
      <alignment horizontal="center"/>
    </xf>
    <xf numFmtId="164" fontId="1" fillId="0" borderId="11" xfId="3" applyNumberFormat="1" applyFont="1" applyBorder="1" applyAlignment="1">
      <alignment horizontal="center"/>
    </xf>
    <xf numFmtId="0" fontId="2" fillId="0" borderId="2" xfId="3" applyFont="1" applyBorder="1" applyAlignment="1">
      <alignment horizontal="center"/>
    </xf>
    <xf numFmtId="164" fontId="2" fillId="0" borderId="2" xfId="3" applyNumberFormat="1" applyFont="1" applyBorder="1" applyAlignment="1">
      <alignment horizontal="center"/>
    </xf>
    <xf numFmtId="164" fontId="2" fillId="0" borderId="3" xfId="3" applyNumberFormat="1" applyFont="1" applyBorder="1" applyAlignment="1">
      <alignment horizontal="center"/>
    </xf>
    <xf numFmtId="10" fontId="2" fillId="0" borderId="2" xfId="3" applyNumberFormat="1" applyFont="1" applyBorder="1" applyAlignment="1">
      <alignment horizontal="center"/>
    </xf>
    <xf numFmtId="165" fontId="2" fillId="0" borderId="2" xfId="3" applyNumberFormat="1" applyFont="1" applyBorder="1" applyAlignment="1">
      <alignment horizontal="center"/>
    </xf>
    <xf numFmtId="165" fontId="2" fillId="0" borderId="3" xfId="3" applyNumberFormat="1" applyFont="1" applyBorder="1" applyAlignment="1">
      <alignment horizontal="center"/>
    </xf>
    <xf numFmtId="0" fontId="9" fillId="0" borderId="6" xfId="3" applyBorder="1"/>
    <xf numFmtId="0" fontId="9" fillId="0" borderId="6" xfId="3" applyBorder="1" applyAlignment="1">
      <alignment vertical="center" wrapText="1"/>
    </xf>
    <xf numFmtId="0" fontId="12" fillId="0" borderId="0" xfId="2" applyFont="1" applyBorder="1" applyAlignment="1" applyProtection="1">
      <alignment horizontal="center" vertical="center" wrapText="1"/>
    </xf>
    <xf numFmtId="49" fontId="12" fillId="0" borderId="0" xfId="2" applyNumberFormat="1" applyFont="1" applyBorder="1" applyAlignment="1" applyProtection="1">
      <alignment horizontal="center" vertical="center" wrapText="1"/>
    </xf>
    <xf numFmtId="49" fontId="6" fillId="0" borderId="0" xfId="2" applyNumberFormat="1" applyBorder="1" applyAlignment="1" applyProtection="1">
      <alignment horizontal="left" vertical="center"/>
    </xf>
    <xf numFmtId="0" fontId="0" fillId="0" borderId="0" xfId="0" applyAlignment="1">
      <alignment vertical="top"/>
    </xf>
    <xf numFmtId="0" fontId="15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7" fillId="0" borderId="5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/>
    </xf>
    <xf numFmtId="164" fontId="17" fillId="0" borderId="4" xfId="0" applyNumberFormat="1" applyFont="1" applyBorder="1" applyAlignment="1">
      <alignment horizontal="center" vertical="top"/>
    </xf>
    <xf numFmtId="1" fontId="17" fillId="0" borderId="7" xfId="0" applyNumberFormat="1" applyFont="1" applyBorder="1" applyAlignment="1">
      <alignment horizontal="center" vertical="top"/>
    </xf>
    <xf numFmtId="2" fontId="17" fillId="0" borderId="4" xfId="0" applyNumberFormat="1" applyFont="1" applyBorder="1" applyAlignment="1">
      <alignment horizontal="center" vertical="top"/>
    </xf>
    <xf numFmtId="0" fontId="0" fillId="0" borderId="13" xfId="0" applyBorder="1"/>
    <xf numFmtId="0" fontId="19" fillId="0" borderId="14" xfId="0" applyFont="1" applyBorder="1" applyAlignment="1">
      <alignment horizontal="center"/>
    </xf>
    <xf numFmtId="0" fontId="19" fillId="0" borderId="14" xfId="0" applyFont="1" applyBorder="1" applyAlignment="1">
      <alignment horizontal="centerContinuous"/>
    </xf>
    <xf numFmtId="0" fontId="0" fillId="3" borderId="0" xfId="0" applyFill="1"/>
    <xf numFmtId="0" fontId="0" fillId="3" borderId="13" xfId="0" applyFill="1" applyBorder="1"/>
    <xf numFmtId="0" fontId="0" fillId="4" borderId="0" xfId="0" applyFill="1"/>
    <xf numFmtId="0" fontId="22" fillId="0" borderId="5" xfId="0" applyFont="1" applyBorder="1" applyAlignment="1">
      <alignment horizontal="center" vertical="top"/>
    </xf>
    <xf numFmtId="0" fontId="23" fillId="0" borderId="4" xfId="0" applyFont="1" applyBorder="1" applyAlignment="1">
      <alignment horizontal="center" vertical="top" wrapText="1"/>
    </xf>
    <xf numFmtId="0" fontId="24" fillId="0" borderId="4" xfId="0" applyFont="1" applyBorder="1" applyAlignment="1">
      <alignment horizontal="center" vertical="top"/>
    </xf>
    <xf numFmtId="0" fontId="24" fillId="0" borderId="4" xfId="0" applyFont="1" applyBorder="1" applyAlignment="1">
      <alignment horizontal="center" vertical="top" wrapText="1"/>
    </xf>
    <xf numFmtId="165" fontId="24" fillId="0" borderId="4" xfId="0" applyNumberFormat="1" applyFont="1" applyBorder="1" applyAlignment="1">
      <alignment horizontal="center" vertical="top" wrapText="1"/>
    </xf>
    <xf numFmtId="0" fontId="24" fillId="0" borderId="7" xfId="0" applyFont="1" applyBorder="1" applyAlignment="1">
      <alignment horizontal="center" vertical="top" wrapText="1"/>
    </xf>
    <xf numFmtId="1" fontId="0" fillId="0" borderId="0" xfId="0" applyNumberFormat="1" applyAlignment="1">
      <alignment vertical="top"/>
    </xf>
    <xf numFmtId="0" fontId="18" fillId="0" borderId="0" xfId="0" applyFont="1" applyAlignment="1">
      <alignment vertical="top" wrapText="1"/>
    </xf>
    <xf numFmtId="10" fontId="25" fillId="0" borderId="0" xfId="0" applyNumberFormat="1" applyFont="1" applyAlignment="1">
      <alignment horizontal="right"/>
    </xf>
    <xf numFmtId="0" fontId="21" fillId="0" borderId="5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15" fillId="0" borderId="0" xfId="0" applyFont="1" applyAlignment="1">
      <alignment horizontal="center" vertical="top" wrapText="1"/>
    </xf>
    <xf numFmtId="0" fontId="20" fillId="0" borderId="12" xfId="0" applyFont="1" applyBorder="1" applyAlignment="1">
      <alignment horizontal="left" vertical="center" wrapText="1" indent="1"/>
    </xf>
    <xf numFmtId="0" fontId="20" fillId="0" borderId="0" xfId="0" applyFont="1" applyAlignment="1">
      <alignment horizontal="left" vertical="center" wrapText="1" indent="1"/>
    </xf>
    <xf numFmtId="0" fontId="7" fillId="0" borderId="0" xfId="1" applyFont="1" applyAlignment="1">
      <alignment horizontal="left" vertical="center" wrapText="1"/>
    </xf>
    <xf numFmtId="0" fontId="8" fillId="0" borderId="0" xfId="2" applyFont="1" applyBorder="1" applyAlignment="1" applyProtection="1">
      <alignment horizontal="left" vertical="center"/>
    </xf>
    <xf numFmtId="0" fontId="9" fillId="0" borderId="6" xfId="3" applyBorder="1" applyAlignment="1">
      <alignment horizontal="center" vertical="center" wrapText="1"/>
    </xf>
    <xf numFmtId="0" fontId="10" fillId="0" borderId="2" xfId="3" applyFont="1" applyBorder="1" applyAlignment="1">
      <alignment horizontal="left"/>
    </xf>
    <xf numFmtId="0" fontId="1" fillId="2" borderId="6" xfId="3" applyFont="1" applyFill="1" applyBorder="1" applyAlignment="1">
      <alignment horizontal="center" vertical="center" wrapText="1"/>
    </xf>
    <xf numFmtId="164" fontId="11" fillId="0" borderId="6" xfId="3" applyNumberFormat="1" applyFont="1" applyBorder="1" applyAlignment="1">
      <alignment horizontal="center"/>
    </xf>
    <xf numFmtId="49" fontId="3" fillId="0" borderId="0" xfId="3" applyNumberFormat="1" applyFont="1" applyAlignment="1">
      <alignment horizontal="left"/>
    </xf>
    <xf numFmtId="49" fontId="4" fillId="0" borderId="0" xfId="3" applyNumberFormat="1" applyFont="1" applyAlignment="1">
      <alignment horizontal="left"/>
    </xf>
    <xf numFmtId="49" fontId="5" fillId="0" borderId="0" xfId="3" applyNumberFormat="1" applyFont="1" applyAlignment="1">
      <alignment horizontal="left"/>
    </xf>
  </cellXfs>
  <cellStyles count="4">
    <cellStyle name="Normal" xfId="0" builtinId="0"/>
    <cellStyle name="Normal 2" xfId="1" xr:uid="{B716A82A-E967-FB47-8325-DCDC8B347B0E}"/>
    <cellStyle name="Normal 3" xfId="3" xr:uid="{1C7C41FA-8AA4-5045-B4E9-784A886E3771}"/>
    <cellStyle name="Normal_Tableaux CC_Ctes annuels_Prod_2015" xfId="2" xr:uid="{C768CD38-9CE2-2C42-8D8C-C46520E8939A}"/>
  </cellStyles>
  <dxfs count="15">
    <dxf>
      <numFmt numFmtId="3" formatCode="#,##0"/>
      <alignment horizontal="righ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protection locked="1" hidden="0"/>
    </dxf>
    <dxf>
      <numFmt numFmtId="0" formatCode="General"/>
      <alignment horizontal="left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charset val="1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##\ ###\ ##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##\ ###\ ##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center" vertical="top" textRotation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indexed="64"/>
        </left>
        <right/>
        <top/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border>
        <bottom style="thin">
          <color auto="1"/>
        </bottom>
      </border>
    </dxf>
    <dxf>
      <font>
        <i/>
        <strike val="0"/>
        <outline val="0"/>
        <shadow val="0"/>
        <u val="none"/>
        <vertAlign val="baseline"/>
        <color theme="0"/>
      </font>
      <fill>
        <patternFill patternType="none">
          <fgColor indexed="64"/>
          <bgColor auto="1"/>
        </patternFill>
      </fill>
      <alignment horizontal="center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0" i="0" u="none" strike="noStrike" cap="none" baseline="0">
                <a:effectLst/>
              </a:rPr>
              <a:t>Taux de pratique </a:t>
            </a:r>
            <a:r>
              <a:rPr lang="fr-FR" sz="1400" b="0" i="0" u="none" strike="noStrike" cap="none" baseline="0">
                <a:effectLst/>
                <a:latin typeface="+mj-lt"/>
              </a:rPr>
              <a:t>sportive</a:t>
            </a:r>
            <a:r>
              <a:rPr lang="fr-FR" sz="1400" b="0" i="0" u="none" strike="noStrike" cap="none" baseline="0">
                <a:effectLst/>
              </a:rPr>
              <a:t> vs revenu médian par département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Fusion!$F$2</c:f>
              <c:strCache>
                <c:ptCount val="1"/>
                <c:pt idx="0">
                  <c:v>Revenu median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6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6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6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74463711883597E-3"/>
                  <c:y val="-6.5337983313203327E-2"/>
                </c:manualLayout>
              </c:layout>
              <c:numFmt formatCode="General" sourceLinked="0"/>
              <c:spPr>
                <a:noFill/>
                <a:ln w="15875" cmpd="sng">
                  <a:solidFill>
                    <a:schemeClr val="bg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Fusion!$E$3:$E$110</c:f>
              <c:numCache>
                <c:formatCode>0.00</c:formatCode>
                <c:ptCount val="108"/>
                <c:pt idx="0">
                  <c:v>0.19486224669376401</c:v>
                </c:pt>
                <c:pt idx="1">
                  <c:v>0.14290095279051701</c:v>
                </c:pt>
                <c:pt idx="2">
                  <c:v>0.24464252749281401</c:v>
                </c:pt>
                <c:pt idx="3">
                  <c:v>0.25788687530368698</c:v>
                </c:pt>
                <c:pt idx="4">
                  <c:v>0.257137870855148</c:v>
                </c:pt>
                <c:pt idx="5">
                  <c:v>0.21134106438661099</c:v>
                </c:pt>
                <c:pt idx="6">
                  <c:v>0.19828763969053201</c:v>
                </c:pt>
                <c:pt idx="7">
                  <c:v>0.28882818098065299</c:v>
                </c:pt>
                <c:pt idx="8">
                  <c:v>0.19911096327431599</c:v>
                </c:pt>
                <c:pt idx="9">
                  <c:v>0.27129737179448599</c:v>
                </c:pt>
                <c:pt idx="10">
                  <c:v>0.236317482790663</c:v>
                </c:pt>
                <c:pt idx="11">
                  <c:v>0.25618941903455</c:v>
                </c:pt>
                <c:pt idx="12">
                  <c:v>0.25668992791129203</c:v>
                </c:pt>
                <c:pt idx="13">
                  <c:v>0.23470171240826401</c:v>
                </c:pt>
                <c:pt idx="14">
                  <c:v>0.23608638632499099</c:v>
                </c:pt>
                <c:pt idx="15">
                  <c:v>0.24879151614031</c:v>
                </c:pt>
                <c:pt idx="16">
                  <c:v>0.23513362275482</c:v>
                </c:pt>
                <c:pt idx="17">
                  <c:v>0.21519536484493201</c:v>
                </c:pt>
                <c:pt idx="18">
                  <c:v>0.235346684331703</c:v>
                </c:pt>
                <c:pt idx="19">
                  <c:v>0.23779482016237899</c:v>
                </c:pt>
                <c:pt idx="20">
                  <c:v>0.235435925192645</c:v>
                </c:pt>
                <c:pt idx="21">
                  <c:v>0.26747104932862897</c:v>
                </c:pt>
                <c:pt idx="22">
                  <c:v>0.36382528230865702</c:v>
                </c:pt>
                <c:pt idx="23">
                  <c:v>0.222794092180605</c:v>
                </c:pt>
                <c:pt idx="24">
                  <c:v>0.276749445389735</c:v>
                </c:pt>
                <c:pt idx="25">
                  <c:v>0.23819720694033</c:v>
                </c:pt>
                <c:pt idx="26">
                  <c:v>0.280910742037561</c:v>
                </c:pt>
                <c:pt idx="27">
                  <c:v>0.28901945279931102</c:v>
                </c:pt>
                <c:pt idx="28">
                  <c:v>0.24869311054694301</c:v>
                </c:pt>
                <c:pt idx="29">
                  <c:v>0.214069821754132</c:v>
                </c:pt>
                <c:pt idx="30">
                  <c:v>0.236644793767402</c:v>
                </c:pt>
                <c:pt idx="31">
                  <c:v>0.285957649784501</c:v>
                </c:pt>
                <c:pt idx="32">
                  <c:v>0.26672127744331797</c:v>
                </c:pt>
                <c:pt idx="33">
                  <c:v>0.27751198745720701</c:v>
                </c:pt>
                <c:pt idx="34">
                  <c:v>0.22000980114002699</c:v>
                </c:pt>
                <c:pt idx="35">
                  <c:v>0.31804374870412599</c:v>
                </c:pt>
                <c:pt idx="36">
                  <c:v>0.30756291671000402</c:v>
                </c:pt>
                <c:pt idx="37">
                  <c:v>0.255119899607536</c:v>
                </c:pt>
                <c:pt idx="38">
                  <c:v>0.28515661057728098</c:v>
                </c:pt>
                <c:pt idx="39">
                  <c:v>0.27818065627518002</c:v>
                </c:pt>
                <c:pt idx="40">
                  <c:v>0.23774068075010299</c:v>
                </c:pt>
                <c:pt idx="41">
                  <c:v>0.29571054300303701</c:v>
                </c:pt>
                <c:pt idx="42">
                  <c:v>0.21293378147633299</c:v>
                </c:pt>
                <c:pt idx="43">
                  <c:v>0.26743067597917303</c:v>
                </c:pt>
                <c:pt idx="44">
                  <c:v>0.23133987131324099</c:v>
                </c:pt>
                <c:pt idx="45">
                  <c:v>0.26827139754263002</c:v>
                </c:pt>
                <c:pt idx="46">
                  <c:v>0.37496652713768303</c:v>
                </c:pt>
                <c:pt idx="47">
                  <c:v>0.26936968177331999</c:v>
                </c:pt>
                <c:pt idx="48">
                  <c:v>0.28571992456471201</c:v>
                </c:pt>
                <c:pt idx="49">
                  <c:v>0.34144455158478099</c:v>
                </c:pt>
                <c:pt idx="50">
                  <c:v>0.27537314430793702</c:v>
                </c:pt>
                <c:pt idx="51">
                  <c:v>0.26245076399643902</c:v>
                </c:pt>
                <c:pt idx="52">
                  <c:v>0.27026319129774301</c:v>
                </c:pt>
                <c:pt idx="53">
                  <c:v>0.235738627206311</c:v>
                </c:pt>
                <c:pt idx="54">
                  <c:v>0.29214223793251698</c:v>
                </c:pt>
                <c:pt idx="55">
                  <c:v>0.29588733753898999</c:v>
                </c:pt>
                <c:pt idx="56">
                  <c:v>0.25866275199963901</c:v>
                </c:pt>
                <c:pt idx="57">
                  <c:v>0.24541364757194201</c:v>
                </c:pt>
                <c:pt idx="58">
                  <c:v>0.32275128641799</c:v>
                </c:pt>
                <c:pt idx="59">
                  <c:v>0.224383195076264</c:v>
                </c:pt>
                <c:pt idx="60">
                  <c:v>0.24369119994565799</c:v>
                </c:pt>
                <c:pt idx="61">
                  <c:v>0.26918075799636099</c:v>
                </c:pt>
                <c:pt idx="62">
                  <c:v>0.31167101176450901</c:v>
                </c:pt>
                <c:pt idx="63">
                  <c:v>0.20534219671116299</c:v>
                </c:pt>
                <c:pt idx="64">
                  <c:v>0.23409646569874301</c:v>
                </c:pt>
                <c:pt idx="65">
                  <c:v>0.233338369775591</c:v>
                </c:pt>
                <c:pt idx="66">
                  <c:v>0.26282960068463301</c:v>
                </c:pt>
                <c:pt idx="67">
                  <c:v>0.240165851961505</c:v>
                </c:pt>
                <c:pt idx="68">
                  <c:v>0.24605587020243799</c:v>
                </c:pt>
                <c:pt idx="69">
                  <c:v>0.27061831877850201</c:v>
                </c:pt>
                <c:pt idx="70">
                  <c:v>0.24963245684401</c:v>
                </c:pt>
                <c:pt idx="71">
                  <c:v>0.26723934139896299</c:v>
                </c:pt>
                <c:pt idx="72">
                  <c:v>0.241788016162991</c:v>
                </c:pt>
                <c:pt idx="73">
                  <c:v>0.27879942866901603</c:v>
                </c:pt>
                <c:pt idx="74">
                  <c:v>0.30054582767440602</c:v>
                </c:pt>
                <c:pt idx="75">
                  <c:v>0.32205062636661502</c:v>
                </c:pt>
                <c:pt idx="76">
                  <c:v>0.30999329876908999</c:v>
                </c:pt>
                <c:pt idx="77">
                  <c:v>0.2373225765161</c:v>
                </c:pt>
                <c:pt idx="78">
                  <c:v>0.23065395500159699</c:v>
                </c:pt>
                <c:pt idx="79">
                  <c:v>0.31798376443516402</c:v>
                </c:pt>
                <c:pt idx="80">
                  <c:v>0.25918208233383</c:v>
                </c:pt>
                <c:pt idx="81">
                  <c:v>0.24687906991518699</c:v>
                </c:pt>
                <c:pt idx="82">
                  <c:v>0.26250225708860098</c:v>
                </c:pt>
                <c:pt idx="83">
                  <c:v>0.31456697614811302</c:v>
                </c:pt>
                <c:pt idx="84">
                  <c:v>0.24983689380378199</c:v>
                </c:pt>
                <c:pt idx="85">
                  <c:v>0.19890463162077601</c:v>
                </c:pt>
                <c:pt idx="86">
                  <c:v>0.283715447235587</c:v>
                </c:pt>
                <c:pt idx="87">
                  <c:v>0.218927182693609</c:v>
                </c:pt>
                <c:pt idx="88">
                  <c:v>0.25456275107600301</c:v>
                </c:pt>
                <c:pt idx="89">
                  <c:v>0.23722945304214099</c:v>
                </c:pt>
                <c:pt idx="90">
                  <c:v>0.30906136294513697</c:v>
                </c:pt>
                <c:pt idx="91">
                  <c:v>0.25720901508195898</c:v>
                </c:pt>
                <c:pt idx="92">
                  <c:v>0.26497070424019897</c:v>
                </c:pt>
                <c:pt idx="93">
                  <c:v>0.28680701224608601</c:v>
                </c:pt>
                <c:pt idx="94">
                  <c:v>0.30843638553100799</c:v>
                </c:pt>
                <c:pt idx="95">
                  <c:v>0.171777076172273</c:v>
                </c:pt>
                <c:pt idx="96">
                  <c:v>0.23086384173773999</c:v>
                </c:pt>
                <c:pt idx="97">
                  <c:v>0.248592624743456</c:v>
                </c:pt>
                <c:pt idx="98">
                  <c:v>0.198680837581728</c:v>
                </c:pt>
                <c:pt idx="99">
                  <c:v>0.189174753208982</c:v>
                </c:pt>
                <c:pt idx="100">
                  <c:v>0.16168678497741401</c:v>
                </c:pt>
                <c:pt idx="101">
                  <c:v>0.13782541635184001</c:v>
                </c:pt>
                <c:pt idx="102">
                  <c:v>0.182149499678427</c:v>
                </c:pt>
                <c:pt idx="103">
                  <c:v>0.25084476129855399</c:v>
                </c:pt>
              </c:numCache>
            </c:numRef>
          </c:xVal>
          <c:yVal>
            <c:numRef>
              <c:f>Fusion!$F$3:$F$110</c:f>
              <c:numCache>
                <c:formatCode>0</c:formatCode>
                <c:ptCount val="108"/>
                <c:pt idx="0">
                  <c:v>19110</c:v>
                </c:pt>
                <c:pt idx="1">
                  <c:v>21250</c:v>
                </c:pt>
                <c:pt idx="2">
                  <c:v>23060</c:v>
                </c:pt>
                <c:pt idx="3">
                  <c:v>23080</c:v>
                </c:pt>
                <c:pt idx="4">
                  <c:v>23210</c:v>
                </c:pt>
                <c:pt idx="5">
                  <c:v>23260</c:v>
                </c:pt>
                <c:pt idx="6">
                  <c:v>23360</c:v>
                </c:pt>
                <c:pt idx="7">
                  <c:v>23360</c:v>
                </c:pt>
                <c:pt idx="8">
                  <c:v>23500</c:v>
                </c:pt>
                <c:pt idx="9">
                  <c:v>23730</c:v>
                </c:pt>
                <c:pt idx="10">
                  <c:v>23810</c:v>
                </c:pt>
                <c:pt idx="11">
                  <c:v>23840</c:v>
                </c:pt>
                <c:pt idx="12">
                  <c:v>23930</c:v>
                </c:pt>
                <c:pt idx="13">
                  <c:v>23980</c:v>
                </c:pt>
                <c:pt idx="14">
                  <c:v>24010</c:v>
                </c:pt>
                <c:pt idx="15">
                  <c:v>24020</c:v>
                </c:pt>
                <c:pt idx="16">
                  <c:v>24110</c:v>
                </c:pt>
                <c:pt idx="17">
                  <c:v>24130</c:v>
                </c:pt>
                <c:pt idx="18">
                  <c:v>24150</c:v>
                </c:pt>
                <c:pt idx="19">
                  <c:v>24200</c:v>
                </c:pt>
                <c:pt idx="20">
                  <c:v>24200</c:v>
                </c:pt>
                <c:pt idx="21">
                  <c:v>24240</c:v>
                </c:pt>
                <c:pt idx="22">
                  <c:v>24270</c:v>
                </c:pt>
                <c:pt idx="23">
                  <c:v>24280</c:v>
                </c:pt>
                <c:pt idx="24">
                  <c:v>24320</c:v>
                </c:pt>
                <c:pt idx="25">
                  <c:v>24320</c:v>
                </c:pt>
                <c:pt idx="26">
                  <c:v>24350</c:v>
                </c:pt>
                <c:pt idx="27">
                  <c:v>24420</c:v>
                </c:pt>
                <c:pt idx="28">
                  <c:v>24430</c:v>
                </c:pt>
                <c:pt idx="29">
                  <c:v>24590</c:v>
                </c:pt>
                <c:pt idx="30">
                  <c:v>24730</c:v>
                </c:pt>
                <c:pt idx="31">
                  <c:v>24740</c:v>
                </c:pt>
                <c:pt idx="32">
                  <c:v>24740</c:v>
                </c:pt>
                <c:pt idx="33">
                  <c:v>24740</c:v>
                </c:pt>
                <c:pt idx="34">
                  <c:v>24750</c:v>
                </c:pt>
                <c:pt idx="35">
                  <c:v>24770</c:v>
                </c:pt>
                <c:pt idx="36">
                  <c:v>24780</c:v>
                </c:pt>
                <c:pt idx="37">
                  <c:v>24800</c:v>
                </c:pt>
                <c:pt idx="38">
                  <c:v>24820</c:v>
                </c:pt>
                <c:pt idx="39">
                  <c:v>24820</c:v>
                </c:pt>
                <c:pt idx="40">
                  <c:v>24850</c:v>
                </c:pt>
                <c:pt idx="41">
                  <c:v>24910</c:v>
                </c:pt>
                <c:pt idx="42">
                  <c:v>24940</c:v>
                </c:pt>
                <c:pt idx="43">
                  <c:v>24940</c:v>
                </c:pt>
                <c:pt idx="44">
                  <c:v>24970</c:v>
                </c:pt>
                <c:pt idx="45">
                  <c:v>24990</c:v>
                </c:pt>
                <c:pt idx="46">
                  <c:v>25060</c:v>
                </c:pt>
                <c:pt idx="47">
                  <c:v>25080</c:v>
                </c:pt>
                <c:pt idx="48">
                  <c:v>25140</c:v>
                </c:pt>
                <c:pt idx="49">
                  <c:v>25140</c:v>
                </c:pt>
                <c:pt idx="50">
                  <c:v>25210</c:v>
                </c:pt>
                <c:pt idx="51">
                  <c:v>25240</c:v>
                </c:pt>
                <c:pt idx="52">
                  <c:v>25430</c:v>
                </c:pt>
                <c:pt idx="53">
                  <c:v>25520</c:v>
                </c:pt>
                <c:pt idx="54">
                  <c:v>25550</c:v>
                </c:pt>
                <c:pt idx="55">
                  <c:v>25590</c:v>
                </c:pt>
                <c:pt idx="56">
                  <c:v>25600</c:v>
                </c:pt>
                <c:pt idx="57">
                  <c:v>25610</c:v>
                </c:pt>
                <c:pt idx="58">
                  <c:v>25650</c:v>
                </c:pt>
                <c:pt idx="59">
                  <c:v>25700</c:v>
                </c:pt>
                <c:pt idx="60">
                  <c:v>25710</c:v>
                </c:pt>
                <c:pt idx="61">
                  <c:v>25800</c:v>
                </c:pt>
                <c:pt idx="62">
                  <c:v>25850</c:v>
                </c:pt>
                <c:pt idx="63">
                  <c:v>25890</c:v>
                </c:pt>
                <c:pt idx="64">
                  <c:v>25910</c:v>
                </c:pt>
                <c:pt idx="65">
                  <c:v>25910</c:v>
                </c:pt>
                <c:pt idx="66">
                  <c:v>25930</c:v>
                </c:pt>
                <c:pt idx="67">
                  <c:v>25940</c:v>
                </c:pt>
                <c:pt idx="68">
                  <c:v>25970</c:v>
                </c:pt>
                <c:pt idx="69">
                  <c:v>25980</c:v>
                </c:pt>
                <c:pt idx="70">
                  <c:v>26030</c:v>
                </c:pt>
                <c:pt idx="71">
                  <c:v>26040</c:v>
                </c:pt>
                <c:pt idx="72">
                  <c:v>26050</c:v>
                </c:pt>
                <c:pt idx="73">
                  <c:v>26090</c:v>
                </c:pt>
                <c:pt idx="74">
                  <c:v>26210</c:v>
                </c:pt>
                <c:pt idx="75">
                  <c:v>26250</c:v>
                </c:pt>
                <c:pt idx="76">
                  <c:v>26300</c:v>
                </c:pt>
                <c:pt idx="77">
                  <c:v>26380</c:v>
                </c:pt>
                <c:pt idx="78">
                  <c:v>26560</c:v>
                </c:pt>
                <c:pt idx="79">
                  <c:v>26670</c:v>
                </c:pt>
                <c:pt idx="80">
                  <c:v>26820</c:v>
                </c:pt>
                <c:pt idx="81">
                  <c:v>26890</c:v>
                </c:pt>
                <c:pt idx="82">
                  <c:v>27040</c:v>
                </c:pt>
                <c:pt idx="83">
                  <c:v>27150</c:v>
                </c:pt>
                <c:pt idx="84">
                  <c:v>27190</c:v>
                </c:pt>
                <c:pt idx="85">
                  <c:v>27250</c:v>
                </c:pt>
                <c:pt idx="86">
                  <c:v>27290</c:v>
                </c:pt>
                <c:pt idx="87">
                  <c:v>27480</c:v>
                </c:pt>
                <c:pt idx="88">
                  <c:v>27500</c:v>
                </c:pt>
                <c:pt idx="89">
                  <c:v>27620</c:v>
                </c:pt>
                <c:pt idx="90">
                  <c:v>27910</c:v>
                </c:pt>
                <c:pt idx="91">
                  <c:v>27940</c:v>
                </c:pt>
                <c:pt idx="92">
                  <c:v>27990</c:v>
                </c:pt>
                <c:pt idx="93">
                  <c:v>31520</c:v>
                </c:pt>
                <c:pt idx="94">
                  <c:v>32180</c:v>
                </c:pt>
                <c:pt idx="95">
                  <c:v>33650</c:v>
                </c:pt>
                <c:pt idx="96">
                  <c:v>33790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7D-7E46-8228-220DB6575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4526272"/>
        <c:axId val="1764528064"/>
      </c:scatterChart>
      <c:valAx>
        <c:axId val="176452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alpha val="50185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4528064"/>
        <c:crosses val="autoZero"/>
        <c:crossBetween val="midCat"/>
      </c:valAx>
      <c:valAx>
        <c:axId val="176452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alpha val="45045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alpha val="3882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Revenu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4526272"/>
        <c:crosses val="autoZero"/>
        <c:crossBetween val="midCat"/>
        <c:majorUnit val="10000"/>
        <c:minorUnit val="5000"/>
      </c:valAx>
      <c:spPr>
        <a:noFill/>
        <a:ln>
          <a:solidFill>
            <a:schemeClr val="bg1"/>
          </a:solidFill>
        </a:ln>
        <a:effectLst/>
      </c:spPr>
    </c:plotArea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165100</xdr:colOff>
      <xdr:row>1</xdr:row>
      <xdr:rowOff>165099</xdr:rowOff>
    </xdr:from>
    <xdr:to>
      <xdr:col>12</xdr:col>
      <xdr:colOff>584200</xdr:colOff>
      <xdr:row>20</xdr:row>
      <xdr:rowOff>136070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E643FA58-7A46-244F-A4FA-DCC9E4A036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/Recensement%20licences/Enquete%202009/Retour%20questionnaire/211%20-%20Sports%20boule/A%20importer/trs/MSS%20Stat%2020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venuMedia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nalétique"/>
      <sheetName val="PARTIE GENERALE"/>
      <sheetName val="CLUBS PAR DEPARTEMENT"/>
      <sheetName val="LICENCES COMPETITION"/>
      <sheetName val="AUTRES LICENCES"/>
      <sheetName val="ATP PAR DEPARTEMENT"/>
      <sheetName val="TARIFICATION DES LICENCES"/>
      <sheetName val="LicencesATP18"/>
      <sheetName val="LICENCES  COMPETITION"/>
    </sheetNames>
    <sheetDataSet>
      <sheetData sheetId="0"/>
      <sheetData sheetId="1"/>
      <sheetData sheetId="2"/>
      <sheetData sheetId="3">
        <row r="1">
          <cell r="C1">
            <v>2008</v>
          </cell>
        </row>
      </sheetData>
      <sheetData sheetId="4">
        <row r="1">
          <cell r="C1">
            <v>2008</v>
          </cell>
          <cell r="E1">
            <v>2007</v>
          </cell>
          <cell r="G1">
            <v>2006</v>
          </cell>
          <cell r="I1">
            <v>2005</v>
          </cell>
          <cell r="K1">
            <v>2004</v>
          </cell>
          <cell r="M1">
            <v>2003</v>
          </cell>
          <cell r="O1">
            <v>2002</v>
          </cell>
          <cell r="Q1">
            <v>2001</v>
          </cell>
          <cell r="S1">
            <v>2000</v>
          </cell>
          <cell r="U1">
            <v>1999</v>
          </cell>
          <cell r="W1">
            <v>1998</v>
          </cell>
          <cell r="Y1">
            <v>1997</v>
          </cell>
          <cell r="AA1">
            <v>1996</v>
          </cell>
          <cell r="AC1">
            <v>1995</v>
          </cell>
          <cell r="AE1">
            <v>1994</v>
          </cell>
          <cell r="AG1">
            <v>1993</v>
          </cell>
          <cell r="AI1">
            <v>1992</v>
          </cell>
          <cell r="AK1">
            <v>1991</v>
          </cell>
          <cell r="AM1">
            <v>1990</v>
          </cell>
          <cell r="AO1">
            <v>1989</v>
          </cell>
          <cell r="AQ1">
            <v>1988</v>
          </cell>
          <cell r="AS1">
            <v>1987</v>
          </cell>
          <cell r="AU1">
            <v>1986</v>
          </cell>
          <cell r="AW1">
            <v>1985</v>
          </cell>
          <cell r="AY1">
            <v>1984</v>
          </cell>
          <cell r="BA1">
            <v>1983</v>
          </cell>
          <cell r="BC1">
            <v>1982</v>
          </cell>
          <cell r="BE1">
            <v>1981</v>
          </cell>
          <cell r="BG1">
            <v>1980</v>
          </cell>
          <cell r="BI1">
            <v>1979</v>
          </cell>
          <cell r="BK1">
            <v>1978</v>
          </cell>
          <cell r="BM1">
            <v>1977</v>
          </cell>
          <cell r="BO1">
            <v>1976</v>
          </cell>
          <cell r="BQ1">
            <v>1975</v>
          </cell>
          <cell r="BS1">
            <v>1974</v>
          </cell>
          <cell r="BU1">
            <v>1973</v>
          </cell>
          <cell r="BW1">
            <v>1972</v>
          </cell>
          <cell r="BY1">
            <v>1971</v>
          </cell>
          <cell r="CA1">
            <v>1970</v>
          </cell>
          <cell r="CC1">
            <v>1969</v>
          </cell>
          <cell r="CE1">
            <v>1968</v>
          </cell>
          <cell r="CG1">
            <v>1967</v>
          </cell>
          <cell r="CI1">
            <v>1966</v>
          </cell>
          <cell r="CK1">
            <v>1965</v>
          </cell>
          <cell r="CM1">
            <v>1964</v>
          </cell>
          <cell r="CO1">
            <v>1963</v>
          </cell>
          <cell r="CQ1">
            <v>1962</v>
          </cell>
          <cell r="CS1">
            <v>1961</v>
          </cell>
          <cell r="CU1">
            <v>1960</v>
          </cell>
          <cell r="CW1">
            <v>1959</v>
          </cell>
          <cell r="CY1">
            <v>1958</v>
          </cell>
          <cell r="DA1">
            <v>1957</v>
          </cell>
          <cell r="DC1">
            <v>1956</v>
          </cell>
          <cell r="DE1">
            <v>1955</v>
          </cell>
          <cell r="DG1">
            <v>1954</v>
          </cell>
          <cell r="DI1">
            <v>1953</v>
          </cell>
          <cell r="DK1">
            <v>1952</v>
          </cell>
          <cell r="DM1">
            <v>1951</v>
          </cell>
          <cell r="DO1">
            <v>1950</v>
          </cell>
          <cell r="DQ1">
            <v>1949</v>
          </cell>
          <cell r="DS1">
            <v>1948</v>
          </cell>
          <cell r="DU1">
            <v>1947</v>
          </cell>
          <cell r="DW1">
            <v>1946</v>
          </cell>
          <cell r="DY1">
            <v>1945</v>
          </cell>
          <cell r="EA1">
            <v>1944</v>
          </cell>
          <cell r="EC1">
            <v>1943</v>
          </cell>
          <cell r="EE1">
            <v>1942</v>
          </cell>
          <cell r="EG1">
            <v>1941</v>
          </cell>
          <cell r="EI1">
            <v>1940</v>
          </cell>
          <cell r="EK1">
            <v>1939</v>
          </cell>
          <cell r="EM1">
            <v>1938</v>
          </cell>
          <cell r="EO1">
            <v>1937</v>
          </cell>
          <cell r="EQ1">
            <v>1936</v>
          </cell>
          <cell r="ES1">
            <v>1935</v>
          </cell>
          <cell r="EU1">
            <v>1934</v>
          </cell>
          <cell r="EW1" t="str">
            <v>&lt; 1934</v>
          </cell>
          <cell r="EY1" t="str">
            <v>Age non connu</v>
          </cell>
          <cell r="FB1" t="str">
            <v>TOTAL LICENCES</v>
          </cell>
        </row>
        <row r="2">
          <cell r="A2" t="str">
            <v>Dépt (codes INSEE)</v>
          </cell>
          <cell r="B2" t="str">
            <v>Année de naissance, sexe Département</v>
          </cell>
          <cell r="C2" t="str">
            <v>H</v>
          </cell>
          <cell r="D2" t="str">
            <v>F</v>
          </cell>
          <cell r="E2" t="str">
            <v>H</v>
          </cell>
          <cell r="F2" t="str">
            <v>F</v>
          </cell>
          <cell r="G2" t="str">
            <v>H</v>
          </cell>
          <cell r="H2" t="str">
            <v>F</v>
          </cell>
          <cell r="I2" t="str">
            <v>H</v>
          </cell>
          <cell r="J2" t="str">
            <v>F</v>
          </cell>
          <cell r="K2" t="str">
            <v>H</v>
          </cell>
          <cell r="L2" t="str">
            <v>F</v>
          </cell>
          <cell r="M2" t="str">
            <v>H</v>
          </cell>
          <cell r="N2" t="str">
            <v>F</v>
          </cell>
          <cell r="O2" t="str">
            <v>H</v>
          </cell>
          <cell r="P2" t="str">
            <v>F</v>
          </cell>
          <cell r="Q2" t="str">
            <v>H</v>
          </cell>
          <cell r="R2" t="str">
            <v>F</v>
          </cell>
          <cell r="S2" t="str">
            <v>H</v>
          </cell>
          <cell r="T2" t="str">
            <v>F</v>
          </cell>
          <cell r="U2" t="str">
            <v>H</v>
          </cell>
          <cell r="V2" t="str">
            <v>F</v>
          </cell>
          <cell r="W2" t="str">
            <v>H</v>
          </cell>
          <cell r="X2" t="str">
            <v>F</v>
          </cell>
          <cell r="Y2" t="str">
            <v>H</v>
          </cell>
          <cell r="Z2" t="str">
            <v>F</v>
          </cell>
          <cell r="AA2" t="str">
            <v>H</v>
          </cell>
          <cell r="AB2" t="str">
            <v>F</v>
          </cell>
          <cell r="AC2" t="str">
            <v>H</v>
          </cell>
          <cell r="AD2" t="str">
            <v>F</v>
          </cell>
          <cell r="AE2" t="str">
            <v>H</v>
          </cell>
          <cell r="AF2" t="str">
            <v>F</v>
          </cell>
          <cell r="AG2" t="str">
            <v>H</v>
          </cell>
          <cell r="AH2" t="str">
            <v>F</v>
          </cell>
          <cell r="AI2" t="str">
            <v>H</v>
          </cell>
          <cell r="AJ2" t="str">
            <v>F</v>
          </cell>
          <cell r="AK2" t="str">
            <v>H</v>
          </cell>
          <cell r="AL2" t="str">
            <v>F</v>
          </cell>
          <cell r="AM2" t="str">
            <v>H</v>
          </cell>
          <cell r="AN2" t="str">
            <v>F</v>
          </cell>
          <cell r="AO2" t="str">
            <v>H</v>
          </cell>
          <cell r="AP2" t="str">
            <v>F</v>
          </cell>
          <cell r="AQ2" t="str">
            <v>H</v>
          </cell>
          <cell r="AR2" t="str">
            <v>F</v>
          </cell>
          <cell r="AS2" t="str">
            <v>H</v>
          </cell>
          <cell r="AT2" t="str">
            <v>F</v>
          </cell>
          <cell r="AU2" t="str">
            <v>H</v>
          </cell>
          <cell r="AV2" t="str">
            <v>F</v>
          </cell>
          <cell r="AW2" t="str">
            <v>H</v>
          </cell>
          <cell r="AX2" t="str">
            <v>F</v>
          </cell>
          <cell r="AY2" t="str">
            <v>H</v>
          </cell>
          <cell r="AZ2" t="str">
            <v>F</v>
          </cell>
          <cell r="BA2" t="str">
            <v>H</v>
          </cell>
          <cell r="BB2" t="str">
            <v>F</v>
          </cell>
          <cell r="BC2" t="str">
            <v>H</v>
          </cell>
          <cell r="BD2" t="str">
            <v>F</v>
          </cell>
          <cell r="BE2" t="str">
            <v>H</v>
          </cell>
          <cell r="BF2" t="str">
            <v>F</v>
          </cell>
          <cell r="BG2" t="str">
            <v>H</v>
          </cell>
          <cell r="BH2" t="str">
            <v>F</v>
          </cell>
          <cell r="BI2" t="str">
            <v>H</v>
          </cell>
          <cell r="BJ2" t="str">
            <v>F</v>
          </cell>
          <cell r="BK2" t="str">
            <v>H</v>
          </cell>
          <cell r="BL2" t="str">
            <v>F</v>
          </cell>
          <cell r="BM2" t="str">
            <v>H</v>
          </cell>
          <cell r="BN2" t="str">
            <v>F</v>
          </cell>
          <cell r="BO2" t="str">
            <v>H</v>
          </cell>
          <cell r="BP2" t="str">
            <v>F</v>
          </cell>
          <cell r="BQ2" t="str">
            <v>H</v>
          </cell>
          <cell r="BR2" t="str">
            <v>F</v>
          </cell>
          <cell r="BS2" t="str">
            <v>H</v>
          </cell>
          <cell r="BT2" t="str">
            <v>F</v>
          </cell>
          <cell r="BU2" t="str">
            <v>H</v>
          </cell>
          <cell r="BV2" t="str">
            <v>F</v>
          </cell>
          <cell r="BW2" t="str">
            <v>H</v>
          </cell>
          <cell r="BX2" t="str">
            <v>F</v>
          </cell>
          <cell r="BY2" t="str">
            <v>H</v>
          </cell>
          <cell r="BZ2" t="str">
            <v>F</v>
          </cell>
          <cell r="CA2" t="str">
            <v>H</v>
          </cell>
          <cell r="CB2" t="str">
            <v>F</v>
          </cell>
          <cell r="CC2" t="str">
            <v>H</v>
          </cell>
          <cell r="CD2" t="str">
            <v>F</v>
          </cell>
          <cell r="CE2" t="str">
            <v>H</v>
          </cell>
          <cell r="CF2" t="str">
            <v>F</v>
          </cell>
          <cell r="CG2" t="str">
            <v>H</v>
          </cell>
          <cell r="CH2" t="str">
            <v>F</v>
          </cell>
          <cell r="CI2" t="str">
            <v>H</v>
          </cell>
          <cell r="CJ2" t="str">
            <v>F</v>
          </cell>
          <cell r="CK2" t="str">
            <v>H</v>
          </cell>
          <cell r="CL2" t="str">
            <v>F</v>
          </cell>
          <cell r="CM2" t="str">
            <v>H</v>
          </cell>
          <cell r="CN2" t="str">
            <v>F</v>
          </cell>
          <cell r="CO2" t="str">
            <v>H</v>
          </cell>
          <cell r="CP2" t="str">
            <v>F</v>
          </cell>
          <cell r="CQ2" t="str">
            <v>H</v>
          </cell>
          <cell r="CR2" t="str">
            <v>F</v>
          </cell>
          <cell r="CS2" t="str">
            <v>H</v>
          </cell>
          <cell r="CT2" t="str">
            <v>F</v>
          </cell>
          <cell r="CU2" t="str">
            <v>H</v>
          </cell>
          <cell r="CV2" t="str">
            <v>F</v>
          </cell>
          <cell r="CW2" t="str">
            <v>H</v>
          </cell>
          <cell r="CX2" t="str">
            <v>F</v>
          </cell>
          <cell r="CY2" t="str">
            <v>H</v>
          </cell>
          <cell r="CZ2" t="str">
            <v>F</v>
          </cell>
          <cell r="DA2" t="str">
            <v>H</v>
          </cell>
          <cell r="DB2" t="str">
            <v>F</v>
          </cell>
          <cell r="DC2" t="str">
            <v>H</v>
          </cell>
          <cell r="DD2" t="str">
            <v>F</v>
          </cell>
          <cell r="DE2" t="str">
            <v>H</v>
          </cell>
          <cell r="DF2" t="str">
            <v>F</v>
          </cell>
          <cell r="DG2" t="str">
            <v>H</v>
          </cell>
          <cell r="DH2" t="str">
            <v>F</v>
          </cell>
          <cell r="DI2" t="str">
            <v>H</v>
          </cell>
          <cell r="DJ2" t="str">
            <v>F</v>
          </cell>
          <cell r="DK2" t="str">
            <v>H</v>
          </cell>
          <cell r="DL2" t="str">
            <v>F</v>
          </cell>
          <cell r="DM2" t="str">
            <v>H</v>
          </cell>
          <cell r="DN2" t="str">
            <v>F</v>
          </cell>
          <cell r="DO2" t="str">
            <v>H</v>
          </cell>
          <cell r="DP2" t="str">
            <v>F</v>
          </cell>
          <cell r="DQ2" t="str">
            <v>H</v>
          </cell>
          <cell r="DR2" t="str">
            <v>F</v>
          </cell>
          <cell r="DS2" t="str">
            <v>H</v>
          </cell>
          <cell r="DT2" t="str">
            <v>F</v>
          </cell>
          <cell r="DU2" t="str">
            <v>H</v>
          </cell>
          <cell r="DV2" t="str">
            <v>F</v>
          </cell>
          <cell r="DW2" t="str">
            <v>H</v>
          </cell>
          <cell r="DX2" t="str">
            <v>F</v>
          </cell>
          <cell r="DY2" t="str">
            <v>H</v>
          </cell>
          <cell r="DZ2" t="str">
            <v>F</v>
          </cell>
          <cell r="EA2" t="str">
            <v>H</v>
          </cell>
          <cell r="EB2" t="str">
            <v>F</v>
          </cell>
          <cell r="EC2" t="str">
            <v>H</v>
          </cell>
          <cell r="ED2" t="str">
            <v>F</v>
          </cell>
          <cell r="EE2" t="str">
            <v>H</v>
          </cell>
          <cell r="EF2" t="str">
            <v>F</v>
          </cell>
          <cell r="EG2" t="str">
            <v>H</v>
          </cell>
          <cell r="EH2" t="str">
            <v>F</v>
          </cell>
          <cell r="EI2" t="str">
            <v>H</v>
          </cell>
          <cell r="EJ2" t="str">
            <v>F</v>
          </cell>
          <cell r="EK2" t="str">
            <v>H</v>
          </cell>
          <cell r="EL2" t="str">
            <v>F</v>
          </cell>
          <cell r="EM2" t="str">
            <v>H</v>
          </cell>
          <cell r="EN2" t="str">
            <v>F</v>
          </cell>
          <cell r="EO2" t="str">
            <v>H</v>
          </cell>
          <cell r="EP2" t="str">
            <v>F</v>
          </cell>
          <cell r="EQ2" t="str">
            <v>H</v>
          </cell>
          <cell r="ER2" t="str">
            <v>F</v>
          </cell>
          <cell r="ES2" t="str">
            <v>H</v>
          </cell>
          <cell r="ET2" t="str">
            <v>F</v>
          </cell>
          <cell r="EU2" t="str">
            <v>H</v>
          </cell>
          <cell r="EV2" t="str">
            <v>F</v>
          </cell>
          <cell r="EW2" t="str">
            <v>H</v>
          </cell>
          <cell r="EX2" t="str">
            <v>F</v>
          </cell>
          <cell r="EY2" t="str">
            <v>H</v>
          </cell>
          <cell r="EZ2" t="str">
            <v>F</v>
          </cell>
          <cell r="FA2" t="str">
            <v>Non sexué</v>
          </cell>
          <cell r="FB2" t="str">
            <v>H</v>
          </cell>
          <cell r="FC2" t="str">
            <v>F</v>
          </cell>
          <cell r="FD2" t="str">
            <v>Total</v>
          </cell>
        </row>
        <row r="3">
          <cell r="A3">
            <v>1</v>
          </cell>
          <cell r="B3" t="str">
            <v>AIN</v>
          </cell>
        </row>
        <row r="4">
          <cell r="A4">
            <v>2</v>
          </cell>
          <cell r="B4" t="str">
            <v>AISNE</v>
          </cell>
        </row>
        <row r="5">
          <cell r="A5">
            <v>3</v>
          </cell>
          <cell r="B5" t="str">
            <v>ALLIER</v>
          </cell>
        </row>
        <row r="6">
          <cell r="A6">
            <v>4</v>
          </cell>
          <cell r="B6" t="str">
            <v>ALPES DE HTE PROVENCE</v>
          </cell>
        </row>
        <row r="7">
          <cell r="A7">
            <v>5</v>
          </cell>
          <cell r="B7" t="str">
            <v>HAUTES ALPES</v>
          </cell>
        </row>
        <row r="8">
          <cell r="A8">
            <v>6</v>
          </cell>
          <cell r="B8" t="str">
            <v>ALPES MARITIMES</v>
          </cell>
        </row>
        <row r="9">
          <cell r="A9">
            <v>7</v>
          </cell>
          <cell r="B9" t="str">
            <v>ARDECHE</v>
          </cell>
        </row>
        <row r="10">
          <cell r="A10">
            <v>8</v>
          </cell>
          <cell r="B10" t="str">
            <v>ARDENNES</v>
          </cell>
        </row>
        <row r="11">
          <cell r="A11">
            <v>9</v>
          </cell>
          <cell r="B11" t="str">
            <v>ARIEGE</v>
          </cell>
        </row>
        <row r="12">
          <cell r="A12">
            <v>10</v>
          </cell>
          <cell r="B12" t="str">
            <v>AUBE</v>
          </cell>
        </row>
        <row r="13">
          <cell r="A13">
            <v>11</v>
          </cell>
          <cell r="B13" t="str">
            <v>AUDE</v>
          </cell>
        </row>
        <row r="14">
          <cell r="A14">
            <v>12</v>
          </cell>
          <cell r="B14" t="str">
            <v>AVEYRON</v>
          </cell>
        </row>
        <row r="15">
          <cell r="A15">
            <v>13</v>
          </cell>
          <cell r="B15" t="str">
            <v>BOUCHES DU RHONE</v>
          </cell>
        </row>
        <row r="16">
          <cell r="A16">
            <v>14</v>
          </cell>
          <cell r="B16" t="str">
            <v>CALVADOS</v>
          </cell>
        </row>
        <row r="17">
          <cell r="A17">
            <v>15</v>
          </cell>
          <cell r="B17" t="str">
            <v>CANTAL</v>
          </cell>
        </row>
        <row r="18">
          <cell r="A18">
            <v>16</v>
          </cell>
          <cell r="B18" t="str">
            <v>CHARENTE</v>
          </cell>
        </row>
        <row r="19">
          <cell r="A19">
            <v>17</v>
          </cell>
          <cell r="B19" t="str">
            <v>CHARENTE MARITIME</v>
          </cell>
        </row>
        <row r="20">
          <cell r="A20">
            <v>18</v>
          </cell>
          <cell r="B20" t="str">
            <v>CHER</v>
          </cell>
        </row>
        <row r="21">
          <cell r="A21">
            <v>19</v>
          </cell>
          <cell r="B21" t="str">
            <v>CORREZE</v>
          </cell>
        </row>
        <row r="22">
          <cell r="A22" t="str">
            <v>2A</v>
          </cell>
          <cell r="B22" t="str">
            <v>CORSE DU SUD</v>
          </cell>
        </row>
        <row r="23">
          <cell r="A23" t="str">
            <v>2B</v>
          </cell>
          <cell r="B23" t="str">
            <v>HAUTE CORSE</v>
          </cell>
        </row>
        <row r="24">
          <cell r="A24">
            <v>21</v>
          </cell>
          <cell r="B24" t="str">
            <v>COTE D'OR</v>
          </cell>
        </row>
        <row r="25">
          <cell r="A25">
            <v>22</v>
          </cell>
          <cell r="B25" t="str">
            <v>COTES D'ARMOR</v>
          </cell>
        </row>
        <row r="26">
          <cell r="A26">
            <v>23</v>
          </cell>
          <cell r="B26" t="str">
            <v>CREUSE</v>
          </cell>
        </row>
        <row r="27">
          <cell r="A27">
            <v>24</v>
          </cell>
          <cell r="B27" t="str">
            <v>DORDOGNE</v>
          </cell>
        </row>
        <row r="28">
          <cell r="A28">
            <v>25</v>
          </cell>
          <cell r="B28" t="str">
            <v>DOUBS</v>
          </cell>
        </row>
        <row r="29">
          <cell r="A29">
            <v>26</v>
          </cell>
          <cell r="B29" t="str">
            <v>DROME</v>
          </cell>
        </row>
        <row r="30">
          <cell r="A30">
            <v>27</v>
          </cell>
          <cell r="B30" t="str">
            <v>EURE</v>
          </cell>
        </row>
        <row r="31">
          <cell r="A31">
            <v>28</v>
          </cell>
          <cell r="B31" t="str">
            <v>EURE ET LOIR</v>
          </cell>
        </row>
        <row r="32">
          <cell r="A32">
            <v>29</v>
          </cell>
          <cell r="B32" t="str">
            <v>FINISTERE</v>
          </cell>
        </row>
        <row r="33">
          <cell r="A33">
            <v>30</v>
          </cell>
          <cell r="B33" t="str">
            <v>GARD</v>
          </cell>
        </row>
        <row r="34">
          <cell r="A34">
            <v>31</v>
          </cell>
          <cell r="B34" t="str">
            <v>HAUTE GARONNE</v>
          </cell>
        </row>
        <row r="35">
          <cell r="A35">
            <v>32</v>
          </cell>
          <cell r="B35" t="str">
            <v>GERS</v>
          </cell>
        </row>
        <row r="36">
          <cell r="A36">
            <v>33</v>
          </cell>
          <cell r="B36" t="str">
            <v>GIRONDE</v>
          </cell>
        </row>
        <row r="37">
          <cell r="A37">
            <v>34</v>
          </cell>
          <cell r="B37" t="str">
            <v>HERAULT</v>
          </cell>
        </row>
        <row r="38">
          <cell r="A38">
            <v>35</v>
          </cell>
          <cell r="B38" t="str">
            <v>ILLE ET VILAINE</v>
          </cell>
        </row>
        <row r="39">
          <cell r="A39">
            <v>36</v>
          </cell>
          <cell r="B39" t="str">
            <v>INDRE</v>
          </cell>
        </row>
        <row r="40">
          <cell r="A40">
            <v>37</v>
          </cell>
          <cell r="B40" t="str">
            <v>INDRE ET LOIRE</v>
          </cell>
        </row>
        <row r="41">
          <cell r="A41">
            <v>38</v>
          </cell>
          <cell r="B41" t="str">
            <v>ISERE</v>
          </cell>
        </row>
        <row r="42">
          <cell r="A42">
            <v>39</v>
          </cell>
          <cell r="B42" t="str">
            <v>JURA</v>
          </cell>
        </row>
        <row r="43">
          <cell r="A43">
            <v>40</v>
          </cell>
          <cell r="B43" t="str">
            <v>LANDES</v>
          </cell>
        </row>
        <row r="44">
          <cell r="A44">
            <v>41</v>
          </cell>
          <cell r="B44" t="str">
            <v>LOIR ET CHER</v>
          </cell>
        </row>
        <row r="45">
          <cell r="A45">
            <v>42</v>
          </cell>
          <cell r="B45" t="str">
            <v>LOIRE</v>
          </cell>
        </row>
        <row r="46">
          <cell r="A46">
            <v>43</v>
          </cell>
          <cell r="B46" t="str">
            <v>HAUTE LOIRE</v>
          </cell>
        </row>
        <row r="47">
          <cell r="A47">
            <v>44</v>
          </cell>
          <cell r="B47" t="str">
            <v>LOIRE ATLANTIQUE</v>
          </cell>
        </row>
        <row r="48">
          <cell r="A48">
            <v>45</v>
          </cell>
          <cell r="B48" t="str">
            <v>LOIRET</v>
          </cell>
        </row>
        <row r="49">
          <cell r="A49">
            <v>46</v>
          </cell>
          <cell r="B49" t="str">
            <v>LOT</v>
          </cell>
        </row>
        <row r="50">
          <cell r="A50">
            <v>47</v>
          </cell>
          <cell r="B50" t="str">
            <v>LOT ET GARONNE</v>
          </cell>
        </row>
        <row r="51">
          <cell r="A51">
            <v>48</v>
          </cell>
          <cell r="B51" t="str">
            <v>LOZERE</v>
          </cell>
        </row>
        <row r="52">
          <cell r="A52">
            <v>49</v>
          </cell>
          <cell r="B52" t="str">
            <v>MAINE ET LOIRE</v>
          </cell>
        </row>
        <row r="53">
          <cell r="A53">
            <v>50</v>
          </cell>
          <cell r="B53" t="str">
            <v>MANCHE</v>
          </cell>
        </row>
        <row r="54">
          <cell r="A54">
            <v>51</v>
          </cell>
          <cell r="B54" t="str">
            <v>MARNE</v>
          </cell>
        </row>
        <row r="55">
          <cell r="A55">
            <v>52</v>
          </cell>
          <cell r="B55" t="str">
            <v>HAUTE MARNE</v>
          </cell>
        </row>
        <row r="56">
          <cell r="A56">
            <v>53</v>
          </cell>
          <cell r="B56" t="str">
            <v>MAYENNE</v>
          </cell>
        </row>
        <row r="57">
          <cell r="A57">
            <v>54</v>
          </cell>
          <cell r="B57" t="str">
            <v>MEURTHE ET MOSELLE</v>
          </cell>
        </row>
        <row r="58">
          <cell r="A58">
            <v>55</v>
          </cell>
          <cell r="B58" t="str">
            <v>MEUSE</v>
          </cell>
        </row>
        <row r="59">
          <cell r="A59">
            <v>56</v>
          </cell>
          <cell r="B59" t="str">
            <v>MORBIHAN</v>
          </cell>
        </row>
        <row r="60">
          <cell r="A60">
            <v>57</v>
          </cell>
          <cell r="B60" t="str">
            <v>MOSELLE</v>
          </cell>
        </row>
        <row r="61">
          <cell r="A61">
            <v>58</v>
          </cell>
          <cell r="B61" t="str">
            <v>NIEVRE</v>
          </cell>
        </row>
        <row r="62">
          <cell r="A62">
            <v>59</v>
          </cell>
          <cell r="B62" t="str">
            <v>NORD</v>
          </cell>
        </row>
        <row r="63">
          <cell r="A63">
            <v>60</v>
          </cell>
          <cell r="B63" t="str">
            <v>OISE</v>
          </cell>
        </row>
        <row r="64">
          <cell r="A64">
            <v>61</v>
          </cell>
          <cell r="B64" t="str">
            <v>ORNE</v>
          </cell>
        </row>
        <row r="65">
          <cell r="A65">
            <v>62</v>
          </cell>
          <cell r="B65" t="str">
            <v>PAS DE CALAIS</v>
          </cell>
        </row>
        <row r="66">
          <cell r="A66">
            <v>63</v>
          </cell>
          <cell r="B66" t="str">
            <v>PUY DE DOME</v>
          </cell>
        </row>
        <row r="67">
          <cell r="A67">
            <v>64</v>
          </cell>
          <cell r="B67" t="str">
            <v>PYRENEES ATLANTIQUES</v>
          </cell>
        </row>
        <row r="68">
          <cell r="A68">
            <v>65</v>
          </cell>
          <cell r="B68" t="str">
            <v>HAUTES PYRENEES</v>
          </cell>
        </row>
        <row r="69">
          <cell r="A69">
            <v>66</v>
          </cell>
          <cell r="B69" t="str">
            <v>PYRENEES ORIENTALES</v>
          </cell>
        </row>
        <row r="70">
          <cell r="A70">
            <v>67</v>
          </cell>
          <cell r="B70" t="str">
            <v>BAS RHIN</v>
          </cell>
        </row>
        <row r="71">
          <cell r="A71">
            <v>68</v>
          </cell>
          <cell r="B71" t="str">
            <v>HAUT RHIN</v>
          </cell>
        </row>
        <row r="72">
          <cell r="A72">
            <v>69</v>
          </cell>
          <cell r="B72" t="str">
            <v>RHONE</v>
          </cell>
        </row>
        <row r="73">
          <cell r="A73">
            <v>70</v>
          </cell>
          <cell r="B73" t="str">
            <v>HAUTE SAONE</v>
          </cell>
        </row>
        <row r="74">
          <cell r="A74">
            <v>71</v>
          </cell>
          <cell r="B74" t="str">
            <v>SAONE ET LOIRE</v>
          </cell>
        </row>
        <row r="75">
          <cell r="A75">
            <v>72</v>
          </cell>
          <cell r="B75" t="str">
            <v>SARTHE</v>
          </cell>
        </row>
        <row r="76">
          <cell r="A76">
            <v>73</v>
          </cell>
          <cell r="B76" t="str">
            <v>SAVOIE</v>
          </cell>
        </row>
        <row r="77">
          <cell r="A77">
            <v>74</v>
          </cell>
          <cell r="B77" t="str">
            <v>HAUTE SAVOIE</v>
          </cell>
        </row>
        <row r="78">
          <cell r="A78">
            <v>75</v>
          </cell>
          <cell r="B78" t="str">
            <v>PARIS</v>
          </cell>
        </row>
        <row r="79">
          <cell r="A79">
            <v>76</v>
          </cell>
          <cell r="B79" t="str">
            <v>SEINE MARITIME</v>
          </cell>
        </row>
        <row r="80">
          <cell r="A80">
            <v>77</v>
          </cell>
          <cell r="B80" t="str">
            <v>SEINE ET MARNE</v>
          </cell>
        </row>
        <row r="81">
          <cell r="A81">
            <v>78</v>
          </cell>
          <cell r="B81" t="str">
            <v>YVELINES</v>
          </cell>
        </row>
        <row r="82">
          <cell r="A82">
            <v>79</v>
          </cell>
          <cell r="B82" t="str">
            <v>DEUX SEVRES</v>
          </cell>
        </row>
        <row r="83">
          <cell r="A83">
            <v>80</v>
          </cell>
          <cell r="B83" t="str">
            <v>SOMME</v>
          </cell>
        </row>
        <row r="84">
          <cell r="A84">
            <v>81</v>
          </cell>
          <cell r="B84" t="str">
            <v>TARN</v>
          </cell>
        </row>
        <row r="85">
          <cell r="A85">
            <v>82</v>
          </cell>
          <cell r="B85" t="str">
            <v>TARN ET GARONNE</v>
          </cell>
        </row>
        <row r="86">
          <cell r="A86">
            <v>83</v>
          </cell>
          <cell r="B86" t="str">
            <v>VAR</v>
          </cell>
        </row>
        <row r="87">
          <cell r="A87">
            <v>84</v>
          </cell>
          <cell r="B87" t="str">
            <v>VAUCLUSE</v>
          </cell>
        </row>
        <row r="88">
          <cell r="A88">
            <v>85</v>
          </cell>
          <cell r="B88" t="str">
            <v>VENDEE</v>
          </cell>
        </row>
        <row r="89">
          <cell r="A89">
            <v>86</v>
          </cell>
          <cell r="B89" t="str">
            <v>VIENNE</v>
          </cell>
        </row>
        <row r="90">
          <cell r="A90">
            <v>87</v>
          </cell>
          <cell r="B90" t="str">
            <v>HAUTE VIENNE</v>
          </cell>
        </row>
        <row r="91">
          <cell r="A91">
            <v>88</v>
          </cell>
          <cell r="B91" t="str">
            <v>VOSGES</v>
          </cell>
        </row>
        <row r="92">
          <cell r="A92">
            <v>89</v>
          </cell>
          <cell r="B92" t="str">
            <v>YONNE</v>
          </cell>
        </row>
        <row r="93">
          <cell r="A93">
            <v>90</v>
          </cell>
          <cell r="B93" t="str">
            <v>TERRITOIRE DE BELFORT</v>
          </cell>
        </row>
        <row r="94">
          <cell r="A94">
            <v>91</v>
          </cell>
          <cell r="B94" t="str">
            <v>ESSONNE</v>
          </cell>
        </row>
        <row r="95">
          <cell r="A95">
            <v>92</v>
          </cell>
          <cell r="B95" t="str">
            <v>HAUTS DE SEINE</v>
          </cell>
        </row>
        <row r="96">
          <cell r="A96">
            <v>93</v>
          </cell>
          <cell r="B96" t="str">
            <v>SEINE SAINT DENIS</v>
          </cell>
        </row>
        <row r="97">
          <cell r="A97">
            <v>94</v>
          </cell>
          <cell r="B97" t="str">
            <v>VAL DE MARNE</v>
          </cell>
        </row>
        <row r="98">
          <cell r="A98">
            <v>95</v>
          </cell>
          <cell r="B98" t="str">
            <v>VAL D'OISE</v>
          </cell>
        </row>
        <row r="99">
          <cell r="A99">
            <v>971</v>
          </cell>
          <cell r="B99" t="str">
            <v>GUADELOUPE</v>
          </cell>
        </row>
        <row r="100">
          <cell r="A100">
            <v>972</v>
          </cell>
          <cell r="B100" t="str">
            <v>MARTINIQUE</v>
          </cell>
        </row>
        <row r="101">
          <cell r="A101">
            <v>973</v>
          </cell>
          <cell r="B101" t="str">
            <v>GUYANE</v>
          </cell>
        </row>
        <row r="102">
          <cell r="A102">
            <v>974</v>
          </cell>
          <cell r="B102" t="str">
            <v>REUNION</v>
          </cell>
        </row>
        <row r="103">
          <cell r="A103">
            <v>975</v>
          </cell>
          <cell r="B103" t="str">
            <v>ST-PIERRE ET MIQUELON</v>
          </cell>
        </row>
        <row r="104">
          <cell r="A104">
            <v>976</v>
          </cell>
          <cell r="B104" t="str">
            <v>MAYOTTE</v>
          </cell>
        </row>
        <row r="105">
          <cell r="A105">
            <v>988</v>
          </cell>
          <cell r="B105" t="str">
            <v>NOUVELLE CALEDONIE</v>
          </cell>
        </row>
        <row r="106">
          <cell r="A106">
            <v>987</v>
          </cell>
          <cell r="B106" t="str">
            <v>POLYNESIE FRANCAISE</v>
          </cell>
        </row>
        <row r="107">
          <cell r="A107">
            <v>986</v>
          </cell>
          <cell r="B107" t="str">
            <v>WALLIS ET FUTUNA</v>
          </cell>
        </row>
        <row r="108">
          <cell r="A108">
            <v>991</v>
          </cell>
          <cell r="B108" t="str">
            <v>MONACO</v>
          </cell>
        </row>
        <row r="109">
          <cell r="A109">
            <v>99</v>
          </cell>
          <cell r="B109" t="str">
            <v>AUTRES</v>
          </cell>
        </row>
        <row r="110">
          <cell r="A110" t="str">
            <v>REPARTITION PAR REGION (uniquement pour les licences non réparties par département)</v>
          </cell>
        </row>
        <row r="111">
          <cell r="A111">
            <v>42</v>
          </cell>
          <cell r="B111" t="str">
            <v>ALSACE</v>
          </cell>
        </row>
        <row r="112">
          <cell r="A112">
            <v>72</v>
          </cell>
          <cell r="B112" t="str">
            <v>AQUITAINE</v>
          </cell>
        </row>
        <row r="113">
          <cell r="A113">
            <v>83</v>
          </cell>
          <cell r="B113" t="str">
            <v>AUVERGNE</v>
          </cell>
        </row>
        <row r="114">
          <cell r="A114">
            <v>26</v>
          </cell>
          <cell r="B114" t="str">
            <v>BOURGOGNE</v>
          </cell>
        </row>
        <row r="115">
          <cell r="A115">
            <v>53</v>
          </cell>
          <cell r="B115" t="str">
            <v>BRETAGNE</v>
          </cell>
        </row>
        <row r="116">
          <cell r="A116">
            <v>24</v>
          </cell>
          <cell r="B116" t="str">
            <v>CENTRE</v>
          </cell>
        </row>
        <row r="117">
          <cell r="A117">
            <v>21</v>
          </cell>
          <cell r="B117" t="str">
            <v>CHAMPAGNE-ARDENNE</v>
          </cell>
        </row>
        <row r="118">
          <cell r="A118">
            <v>94</v>
          </cell>
          <cell r="B118" t="str">
            <v>CORSE</v>
          </cell>
        </row>
        <row r="119">
          <cell r="A119">
            <v>43</v>
          </cell>
          <cell r="B119" t="str">
            <v>FRANCHE COMTE</v>
          </cell>
        </row>
        <row r="120">
          <cell r="A120">
            <v>11</v>
          </cell>
          <cell r="B120" t="str">
            <v>ILE DE FRANCE</v>
          </cell>
        </row>
        <row r="121">
          <cell r="A121">
            <v>91</v>
          </cell>
          <cell r="B121" t="str">
            <v>LANGUEDOC ROUSSILLON</v>
          </cell>
        </row>
        <row r="122">
          <cell r="A122">
            <v>74</v>
          </cell>
          <cell r="B122" t="str">
            <v>LIMOUSIN</v>
          </cell>
        </row>
        <row r="123">
          <cell r="A123">
            <v>41</v>
          </cell>
          <cell r="B123" t="str">
            <v>LORRAINE</v>
          </cell>
        </row>
        <row r="124">
          <cell r="A124">
            <v>73</v>
          </cell>
          <cell r="B124" t="str">
            <v>MIDI PYRENEES</v>
          </cell>
        </row>
        <row r="125">
          <cell r="A125">
            <v>31</v>
          </cell>
          <cell r="B125" t="str">
            <v>NORD PAS DE CALAIS</v>
          </cell>
        </row>
        <row r="126">
          <cell r="A126">
            <v>25</v>
          </cell>
          <cell r="B126" t="str">
            <v>BASSE NORMANDIE</v>
          </cell>
        </row>
        <row r="127">
          <cell r="A127">
            <v>23</v>
          </cell>
          <cell r="B127" t="str">
            <v>HAUTE NORMANDIE</v>
          </cell>
        </row>
        <row r="128">
          <cell r="A128">
            <v>52</v>
          </cell>
          <cell r="B128" t="str">
            <v>PAYS DE LA LOIRE</v>
          </cell>
        </row>
        <row r="129">
          <cell r="A129">
            <v>22</v>
          </cell>
          <cell r="B129" t="str">
            <v>PICARDIE</v>
          </cell>
        </row>
        <row r="130">
          <cell r="A130">
            <v>54</v>
          </cell>
          <cell r="B130" t="str">
            <v>POITOU CHARENTES</v>
          </cell>
        </row>
        <row r="131">
          <cell r="A131">
            <v>93</v>
          </cell>
          <cell r="B131" t="str">
            <v>PROVENCE ALPES CÔTE D'AZUR</v>
          </cell>
        </row>
        <row r="132">
          <cell r="A132">
            <v>82</v>
          </cell>
          <cell r="B132" t="str">
            <v>RHONE ALPES</v>
          </cell>
        </row>
        <row r="133">
          <cell r="A133">
            <v>0</v>
          </cell>
          <cell r="B133" t="str">
            <v>DOM TOM</v>
          </cell>
        </row>
        <row r="134">
          <cell r="A134" t="str">
            <v>NON REPARTIES DEPARTEMENT / REGION</v>
          </cell>
        </row>
        <row r="135">
          <cell r="A135" t="str">
            <v>TOTAL</v>
          </cell>
        </row>
      </sheetData>
      <sheetData sheetId="5"/>
      <sheetData sheetId="6"/>
      <sheetData sheetId="7" refreshError="1"/>
      <sheetData sheetId="8">
        <row r="1">
          <cell r="C1">
            <v>2008</v>
          </cell>
          <cell r="E1">
            <v>2007</v>
          </cell>
          <cell r="G1">
            <v>2006</v>
          </cell>
          <cell r="I1">
            <v>2005</v>
          </cell>
          <cell r="K1">
            <v>2004</v>
          </cell>
          <cell r="M1">
            <v>2003</v>
          </cell>
          <cell r="O1">
            <v>2002</v>
          </cell>
          <cell r="Q1">
            <v>2001</v>
          </cell>
          <cell r="S1">
            <v>2000</v>
          </cell>
          <cell r="U1">
            <v>1999</v>
          </cell>
          <cell r="W1">
            <v>1998</v>
          </cell>
          <cell r="Y1">
            <v>1997</v>
          </cell>
          <cell r="AA1">
            <v>1996</v>
          </cell>
          <cell r="AC1">
            <v>1995</v>
          </cell>
          <cell r="AE1">
            <v>1994</v>
          </cell>
          <cell r="AG1">
            <v>1993</v>
          </cell>
          <cell r="AI1">
            <v>1992</v>
          </cell>
          <cell r="AK1">
            <v>1991</v>
          </cell>
          <cell r="AM1">
            <v>1990</v>
          </cell>
          <cell r="AO1">
            <v>1989</v>
          </cell>
          <cell r="AQ1">
            <v>1988</v>
          </cell>
          <cell r="AS1">
            <v>1987</v>
          </cell>
          <cell r="AU1">
            <v>1986</v>
          </cell>
          <cell r="AW1">
            <v>1985</v>
          </cell>
          <cell r="AY1">
            <v>1984</v>
          </cell>
          <cell r="BA1">
            <v>1983</v>
          </cell>
          <cell r="BC1">
            <v>1982</v>
          </cell>
          <cell r="BE1">
            <v>1981</v>
          </cell>
          <cell r="BG1">
            <v>1980</v>
          </cell>
          <cell r="BI1">
            <v>1979</v>
          </cell>
          <cell r="BK1">
            <v>1978</v>
          </cell>
          <cell r="BM1">
            <v>1977</v>
          </cell>
          <cell r="BO1">
            <v>1976</v>
          </cell>
          <cell r="BQ1">
            <v>1975</v>
          </cell>
          <cell r="BS1">
            <v>1974</v>
          </cell>
          <cell r="BU1">
            <v>1973</v>
          </cell>
          <cell r="BW1">
            <v>1972</v>
          </cell>
          <cell r="BY1">
            <v>1971</v>
          </cell>
          <cell r="CA1">
            <v>1970</v>
          </cell>
          <cell r="CC1">
            <v>1969</v>
          </cell>
          <cell r="CE1">
            <v>1968</v>
          </cell>
          <cell r="CG1">
            <v>1967</v>
          </cell>
          <cell r="CI1">
            <v>1966</v>
          </cell>
          <cell r="CK1">
            <v>1965</v>
          </cell>
          <cell r="CM1">
            <v>1964</v>
          </cell>
          <cell r="CO1">
            <v>1963</v>
          </cell>
          <cell r="CQ1">
            <v>1962</v>
          </cell>
          <cell r="CS1">
            <v>1961</v>
          </cell>
          <cell r="CU1">
            <v>1960</v>
          </cell>
          <cell r="CW1">
            <v>1959</v>
          </cell>
          <cell r="CY1">
            <v>1958</v>
          </cell>
          <cell r="DA1">
            <v>1957</v>
          </cell>
          <cell r="DC1">
            <v>1956</v>
          </cell>
          <cell r="DE1">
            <v>1955</v>
          </cell>
          <cell r="DG1">
            <v>1954</v>
          </cell>
          <cell r="DI1">
            <v>1953</v>
          </cell>
          <cell r="DK1">
            <v>1952</v>
          </cell>
          <cell r="DM1">
            <v>1951</v>
          </cell>
          <cell r="DO1">
            <v>1950</v>
          </cell>
          <cell r="DQ1">
            <v>1949</v>
          </cell>
          <cell r="DS1">
            <v>1948</v>
          </cell>
          <cell r="DU1">
            <v>1947</v>
          </cell>
          <cell r="DW1">
            <v>1946</v>
          </cell>
          <cell r="DY1">
            <v>1945</v>
          </cell>
          <cell r="EA1">
            <v>1944</v>
          </cell>
          <cell r="EC1">
            <v>1943</v>
          </cell>
          <cell r="EE1">
            <v>1942</v>
          </cell>
          <cell r="EG1">
            <v>1941</v>
          </cell>
          <cell r="EI1">
            <v>1940</v>
          </cell>
          <cell r="EK1">
            <v>1939</v>
          </cell>
          <cell r="EM1">
            <v>1938</v>
          </cell>
          <cell r="EO1">
            <v>1937</v>
          </cell>
          <cell r="EQ1">
            <v>1936</v>
          </cell>
          <cell r="ES1">
            <v>1935</v>
          </cell>
          <cell r="EU1">
            <v>1934</v>
          </cell>
          <cell r="EW1" t="str">
            <v>&lt; 1934</v>
          </cell>
          <cell r="EY1" t="str">
            <v>Age non connu</v>
          </cell>
          <cell r="FB1" t="str">
            <v>TOTAL LICENCES</v>
          </cell>
        </row>
        <row r="2">
          <cell r="A2" t="str">
            <v>Dépt (codes INSEE)</v>
          </cell>
          <cell r="B2" t="str">
            <v>Année de naissance, sexe  Département</v>
          </cell>
          <cell r="C2" t="str">
            <v>H</v>
          </cell>
          <cell r="D2" t="str">
            <v>F</v>
          </cell>
          <cell r="E2" t="str">
            <v>H</v>
          </cell>
          <cell r="F2" t="str">
            <v>F</v>
          </cell>
          <cell r="G2" t="str">
            <v>H</v>
          </cell>
          <cell r="H2" t="str">
            <v>F</v>
          </cell>
          <cell r="I2" t="str">
            <v>H</v>
          </cell>
          <cell r="J2" t="str">
            <v>F</v>
          </cell>
          <cell r="K2" t="str">
            <v>H</v>
          </cell>
          <cell r="L2" t="str">
            <v>F</v>
          </cell>
          <cell r="M2" t="str">
            <v>H</v>
          </cell>
          <cell r="N2" t="str">
            <v>F</v>
          </cell>
          <cell r="O2" t="str">
            <v>H</v>
          </cell>
          <cell r="P2" t="str">
            <v>F</v>
          </cell>
          <cell r="Q2" t="str">
            <v>H</v>
          </cell>
          <cell r="R2" t="str">
            <v>F</v>
          </cell>
          <cell r="S2" t="str">
            <v>H</v>
          </cell>
          <cell r="T2" t="str">
            <v>F</v>
          </cell>
          <cell r="U2" t="str">
            <v>H</v>
          </cell>
          <cell r="V2" t="str">
            <v>F</v>
          </cell>
          <cell r="W2" t="str">
            <v>H</v>
          </cell>
          <cell r="X2" t="str">
            <v>F</v>
          </cell>
          <cell r="Y2" t="str">
            <v>H</v>
          </cell>
          <cell r="Z2" t="str">
            <v>F</v>
          </cell>
          <cell r="AA2" t="str">
            <v>H</v>
          </cell>
          <cell r="AB2" t="str">
            <v>F</v>
          </cell>
          <cell r="AC2" t="str">
            <v>H</v>
          </cell>
          <cell r="AD2" t="str">
            <v>F</v>
          </cell>
          <cell r="AE2" t="str">
            <v>H</v>
          </cell>
          <cell r="AF2" t="str">
            <v>F</v>
          </cell>
          <cell r="AG2" t="str">
            <v>H</v>
          </cell>
          <cell r="AH2" t="str">
            <v>F</v>
          </cell>
          <cell r="AI2" t="str">
            <v>H</v>
          </cell>
          <cell r="AJ2" t="str">
            <v>F</v>
          </cell>
          <cell r="AK2" t="str">
            <v>H</v>
          </cell>
          <cell r="AL2" t="str">
            <v>F</v>
          </cell>
          <cell r="AM2" t="str">
            <v>H</v>
          </cell>
          <cell r="AN2" t="str">
            <v>F</v>
          </cell>
          <cell r="AO2" t="str">
            <v>H</v>
          </cell>
          <cell r="AP2" t="str">
            <v>F</v>
          </cell>
          <cell r="AQ2" t="str">
            <v>H</v>
          </cell>
          <cell r="AR2" t="str">
            <v>F</v>
          </cell>
          <cell r="AS2" t="str">
            <v>H</v>
          </cell>
          <cell r="AT2" t="str">
            <v>F</v>
          </cell>
          <cell r="AU2" t="str">
            <v>H</v>
          </cell>
          <cell r="AV2" t="str">
            <v>F</v>
          </cell>
          <cell r="AW2" t="str">
            <v>H</v>
          </cell>
          <cell r="AX2" t="str">
            <v>F</v>
          </cell>
          <cell r="AY2" t="str">
            <v>H</v>
          </cell>
          <cell r="AZ2" t="str">
            <v>F</v>
          </cell>
          <cell r="BA2" t="str">
            <v>H</v>
          </cell>
          <cell r="BB2" t="str">
            <v>F</v>
          </cell>
          <cell r="BC2" t="str">
            <v>H</v>
          </cell>
          <cell r="BD2" t="str">
            <v>F</v>
          </cell>
          <cell r="BE2" t="str">
            <v>H</v>
          </cell>
          <cell r="BF2" t="str">
            <v>F</v>
          </cell>
          <cell r="BG2" t="str">
            <v>H</v>
          </cell>
          <cell r="BH2" t="str">
            <v>F</v>
          </cell>
          <cell r="BI2" t="str">
            <v>H</v>
          </cell>
          <cell r="BJ2" t="str">
            <v>F</v>
          </cell>
          <cell r="BK2" t="str">
            <v>H</v>
          </cell>
          <cell r="BL2" t="str">
            <v>F</v>
          </cell>
          <cell r="BM2" t="str">
            <v>H</v>
          </cell>
          <cell r="BN2" t="str">
            <v>F</v>
          </cell>
          <cell r="BO2" t="str">
            <v>H</v>
          </cell>
          <cell r="BP2" t="str">
            <v>F</v>
          </cell>
          <cell r="BQ2" t="str">
            <v>H</v>
          </cell>
          <cell r="BR2" t="str">
            <v>F</v>
          </cell>
          <cell r="BS2" t="str">
            <v>H</v>
          </cell>
          <cell r="BT2" t="str">
            <v>F</v>
          </cell>
          <cell r="BU2" t="str">
            <v>H</v>
          </cell>
          <cell r="BV2" t="str">
            <v>F</v>
          </cell>
          <cell r="BW2" t="str">
            <v>H</v>
          </cell>
          <cell r="BX2" t="str">
            <v>F</v>
          </cell>
          <cell r="BY2" t="str">
            <v>H</v>
          </cell>
          <cell r="BZ2" t="str">
            <v>F</v>
          </cell>
          <cell r="CA2" t="str">
            <v>H</v>
          </cell>
          <cell r="CB2" t="str">
            <v>F</v>
          </cell>
          <cell r="CC2" t="str">
            <v>H</v>
          </cell>
          <cell r="CD2" t="str">
            <v>F</v>
          </cell>
          <cell r="CE2" t="str">
            <v>H</v>
          </cell>
          <cell r="CF2" t="str">
            <v>F</v>
          </cell>
          <cell r="CG2" t="str">
            <v>H</v>
          </cell>
          <cell r="CH2" t="str">
            <v>F</v>
          </cell>
          <cell r="CI2" t="str">
            <v>H</v>
          </cell>
          <cell r="CJ2" t="str">
            <v>F</v>
          </cell>
          <cell r="CK2" t="str">
            <v>H</v>
          </cell>
          <cell r="CL2" t="str">
            <v>F</v>
          </cell>
          <cell r="CM2" t="str">
            <v>H</v>
          </cell>
          <cell r="CN2" t="str">
            <v>F</v>
          </cell>
          <cell r="CO2" t="str">
            <v>H</v>
          </cell>
          <cell r="CP2" t="str">
            <v>F</v>
          </cell>
          <cell r="CQ2" t="str">
            <v>H</v>
          </cell>
          <cell r="CR2" t="str">
            <v>F</v>
          </cell>
          <cell r="CS2" t="str">
            <v>H</v>
          </cell>
          <cell r="CT2" t="str">
            <v>F</v>
          </cell>
          <cell r="CU2" t="str">
            <v>H</v>
          </cell>
          <cell r="CV2" t="str">
            <v>F</v>
          </cell>
          <cell r="CW2" t="str">
            <v>H</v>
          </cell>
          <cell r="CX2" t="str">
            <v>F</v>
          </cell>
          <cell r="CY2" t="str">
            <v>H</v>
          </cell>
          <cell r="CZ2" t="str">
            <v>F</v>
          </cell>
          <cell r="DA2" t="str">
            <v>H</v>
          </cell>
          <cell r="DB2" t="str">
            <v>F</v>
          </cell>
          <cell r="DC2" t="str">
            <v>H</v>
          </cell>
          <cell r="DD2" t="str">
            <v>F</v>
          </cell>
          <cell r="DE2" t="str">
            <v>H</v>
          </cell>
          <cell r="DF2" t="str">
            <v>F</v>
          </cell>
          <cell r="DG2" t="str">
            <v>H</v>
          </cell>
          <cell r="DH2" t="str">
            <v>F</v>
          </cell>
          <cell r="DI2" t="str">
            <v>H</v>
          </cell>
          <cell r="DJ2" t="str">
            <v>F</v>
          </cell>
          <cell r="DK2" t="str">
            <v>H</v>
          </cell>
          <cell r="DL2" t="str">
            <v>F</v>
          </cell>
          <cell r="DM2" t="str">
            <v>H</v>
          </cell>
          <cell r="DN2" t="str">
            <v>F</v>
          </cell>
          <cell r="DO2" t="str">
            <v>H</v>
          </cell>
          <cell r="DP2" t="str">
            <v>F</v>
          </cell>
          <cell r="DQ2" t="str">
            <v>H</v>
          </cell>
          <cell r="DR2" t="str">
            <v>F</v>
          </cell>
          <cell r="DS2" t="str">
            <v>H</v>
          </cell>
          <cell r="DT2" t="str">
            <v>F</v>
          </cell>
          <cell r="DU2" t="str">
            <v>H</v>
          </cell>
          <cell r="DV2" t="str">
            <v>F</v>
          </cell>
          <cell r="DW2" t="str">
            <v>H</v>
          </cell>
          <cell r="DX2" t="str">
            <v>F</v>
          </cell>
          <cell r="DY2" t="str">
            <v>H</v>
          </cell>
          <cell r="DZ2" t="str">
            <v>F</v>
          </cell>
          <cell r="EA2" t="str">
            <v>H</v>
          </cell>
          <cell r="EB2" t="str">
            <v>F</v>
          </cell>
          <cell r="EC2" t="str">
            <v>H</v>
          </cell>
          <cell r="ED2" t="str">
            <v>F</v>
          </cell>
          <cell r="EE2" t="str">
            <v>H</v>
          </cell>
          <cell r="EF2" t="str">
            <v>F</v>
          </cell>
          <cell r="EG2" t="str">
            <v>H</v>
          </cell>
          <cell r="EH2" t="str">
            <v>F</v>
          </cell>
          <cell r="EI2" t="str">
            <v>H</v>
          </cell>
          <cell r="EJ2" t="str">
            <v>F</v>
          </cell>
          <cell r="EK2" t="str">
            <v>H</v>
          </cell>
          <cell r="EL2" t="str">
            <v>F</v>
          </cell>
          <cell r="EM2" t="str">
            <v>H</v>
          </cell>
          <cell r="EN2" t="str">
            <v>F</v>
          </cell>
          <cell r="EO2" t="str">
            <v>H</v>
          </cell>
          <cell r="EP2" t="str">
            <v>F</v>
          </cell>
          <cell r="EQ2" t="str">
            <v>H</v>
          </cell>
          <cell r="ER2" t="str">
            <v>F</v>
          </cell>
          <cell r="ES2" t="str">
            <v>H</v>
          </cell>
          <cell r="ET2" t="str">
            <v>F</v>
          </cell>
          <cell r="EU2" t="str">
            <v>H</v>
          </cell>
          <cell r="EV2" t="str">
            <v>F</v>
          </cell>
          <cell r="EW2" t="str">
            <v>H</v>
          </cell>
          <cell r="EX2" t="str">
            <v>F</v>
          </cell>
          <cell r="EY2" t="str">
            <v>H</v>
          </cell>
          <cell r="EZ2" t="str">
            <v>F</v>
          </cell>
          <cell r="FA2" t="str">
            <v>Non sexué</v>
          </cell>
          <cell r="FB2" t="str">
            <v>H</v>
          </cell>
          <cell r="FC2" t="str">
            <v>F</v>
          </cell>
          <cell r="FD2" t="str">
            <v>Total</v>
          </cell>
        </row>
        <row r="3">
          <cell r="A3">
            <v>1</v>
          </cell>
          <cell r="B3" t="str">
            <v>AIN</v>
          </cell>
        </row>
        <row r="4">
          <cell r="A4">
            <v>2</v>
          </cell>
          <cell r="B4" t="str">
            <v>AISNE</v>
          </cell>
        </row>
        <row r="5">
          <cell r="A5">
            <v>3</v>
          </cell>
          <cell r="B5" t="str">
            <v>ALLIER</v>
          </cell>
        </row>
        <row r="6">
          <cell r="A6">
            <v>4</v>
          </cell>
          <cell r="B6" t="str">
            <v>ALPES DE HTE PROVENCE</v>
          </cell>
        </row>
        <row r="7">
          <cell r="A7">
            <v>5</v>
          </cell>
          <cell r="B7" t="str">
            <v>HAUTES ALPES</v>
          </cell>
        </row>
        <row r="8">
          <cell r="A8">
            <v>6</v>
          </cell>
          <cell r="B8" t="str">
            <v>ALPES MARITIMES</v>
          </cell>
        </row>
        <row r="9">
          <cell r="A9">
            <v>7</v>
          </cell>
          <cell r="B9" t="str">
            <v>ARDECHE</v>
          </cell>
        </row>
        <row r="10">
          <cell r="A10">
            <v>8</v>
          </cell>
          <cell r="B10" t="str">
            <v>ARDENNES</v>
          </cell>
        </row>
        <row r="11">
          <cell r="A11">
            <v>9</v>
          </cell>
          <cell r="B11" t="str">
            <v>ARIEGE</v>
          </cell>
        </row>
        <row r="12">
          <cell r="A12">
            <v>10</v>
          </cell>
          <cell r="B12" t="str">
            <v>AUBE</v>
          </cell>
        </row>
        <row r="13">
          <cell r="A13">
            <v>11</v>
          </cell>
          <cell r="B13" t="str">
            <v>AUDE</v>
          </cell>
        </row>
        <row r="14">
          <cell r="A14">
            <v>12</v>
          </cell>
          <cell r="B14" t="str">
            <v>AVEYRON</v>
          </cell>
        </row>
        <row r="15">
          <cell r="A15">
            <v>13</v>
          </cell>
          <cell r="B15" t="str">
            <v>BOUCHES DU RHONE</v>
          </cell>
        </row>
        <row r="16">
          <cell r="A16">
            <v>14</v>
          </cell>
          <cell r="B16" t="str">
            <v>CALVADOS</v>
          </cell>
        </row>
        <row r="17">
          <cell r="A17">
            <v>15</v>
          </cell>
          <cell r="B17" t="str">
            <v>CANTAL</v>
          </cell>
        </row>
        <row r="18">
          <cell r="A18">
            <v>16</v>
          </cell>
          <cell r="B18" t="str">
            <v>CHARENTE</v>
          </cell>
        </row>
        <row r="19">
          <cell r="A19">
            <v>17</v>
          </cell>
          <cell r="B19" t="str">
            <v>CHARENTE MARITIME</v>
          </cell>
        </row>
        <row r="20">
          <cell r="A20">
            <v>18</v>
          </cell>
          <cell r="B20" t="str">
            <v>CHER</v>
          </cell>
        </row>
        <row r="21">
          <cell r="A21">
            <v>19</v>
          </cell>
          <cell r="B21" t="str">
            <v>CORREZE</v>
          </cell>
        </row>
        <row r="22">
          <cell r="A22" t="str">
            <v>2A</v>
          </cell>
          <cell r="B22" t="str">
            <v>CORSE DU SUD</v>
          </cell>
        </row>
        <row r="23">
          <cell r="A23" t="str">
            <v>2B</v>
          </cell>
          <cell r="B23" t="str">
            <v>HAUTE CORSE</v>
          </cell>
        </row>
        <row r="24">
          <cell r="A24">
            <v>21</v>
          </cell>
          <cell r="B24" t="str">
            <v>COTE D'OR</v>
          </cell>
        </row>
        <row r="25">
          <cell r="A25">
            <v>22</v>
          </cell>
          <cell r="B25" t="str">
            <v>COTES D'ARMOR</v>
          </cell>
        </row>
        <row r="26">
          <cell r="A26">
            <v>23</v>
          </cell>
          <cell r="B26" t="str">
            <v>CREUSE</v>
          </cell>
        </row>
        <row r="27">
          <cell r="A27">
            <v>24</v>
          </cell>
          <cell r="B27" t="str">
            <v>DORDOGNE</v>
          </cell>
        </row>
        <row r="28">
          <cell r="A28">
            <v>25</v>
          </cell>
          <cell r="B28" t="str">
            <v>DOUBS</v>
          </cell>
        </row>
        <row r="29">
          <cell r="A29">
            <v>26</v>
          </cell>
          <cell r="B29" t="str">
            <v>DROME</v>
          </cell>
        </row>
        <row r="30">
          <cell r="A30">
            <v>27</v>
          </cell>
          <cell r="B30" t="str">
            <v>EURE</v>
          </cell>
        </row>
        <row r="31">
          <cell r="A31">
            <v>28</v>
          </cell>
          <cell r="B31" t="str">
            <v>EURE ET LOIR</v>
          </cell>
        </row>
        <row r="32">
          <cell r="A32">
            <v>29</v>
          </cell>
          <cell r="B32" t="str">
            <v>FINISTERE</v>
          </cell>
        </row>
        <row r="33">
          <cell r="A33">
            <v>30</v>
          </cell>
          <cell r="B33" t="str">
            <v>GARD</v>
          </cell>
        </row>
        <row r="34">
          <cell r="A34">
            <v>31</v>
          </cell>
          <cell r="B34" t="str">
            <v>HAUTE GARONNE</v>
          </cell>
        </row>
        <row r="35">
          <cell r="A35">
            <v>32</v>
          </cell>
          <cell r="B35" t="str">
            <v>GERS</v>
          </cell>
        </row>
        <row r="36">
          <cell r="A36">
            <v>33</v>
          </cell>
          <cell r="B36" t="str">
            <v>GIRONDE</v>
          </cell>
        </row>
        <row r="37">
          <cell r="A37">
            <v>34</v>
          </cell>
          <cell r="B37" t="str">
            <v>HERAULT</v>
          </cell>
        </row>
        <row r="38">
          <cell r="A38">
            <v>35</v>
          </cell>
          <cell r="B38" t="str">
            <v>ILLE ET VILAINE</v>
          </cell>
        </row>
        <row r="39">
          <cell r="A39">
            <v>36</v>
          </cell>
          <cell r="B39" t="str">
            <v>INDRE</v>
          </cell>
        </row>
        <row r="40">
          <cell r="A40">
            <v>37</v>
          </cell>
          <cell r="B40" t="str">
            <v>INDRE ET LOIRE</v>
          </cell>
        </row>
        <row r="41">
          <cell r="A41">
            <v>38</v>
          </cell>
          <cell r="B41" t="str">
            <v>ISERE</v>
          </cell>
        </row>
        <row r="42">
          <cell r="A42">
            <v>39</v>
          </cell>
          <cell r="B42" t="str">
            <v>JURA</v>
          </cell>
        </row>
        <row r="43">
          <cell r="A43">
            <v>40</v>
          </cell>
          <cell r="B43" t="str">
            <v>LANDES</v>
          </cell>
        </row>
        <row r="44">
          <cell r="A44">
            <v>41</v>
          </cell>
          <cell r="B44" t="str">
            <v>LOIR ET CHER</v>
          </cell>
        </row>
        <row r="45">
          <cell r="A45">
            <v>42</v>
          </cell>
          <cell r="B45" t="str">
            <v>LOIRE</v>
          </cell>
        </row>
        <row r="46">
          <cell r="A46">
            <v>43</v>
          </cell>
          <cell r="B46" t="str">
            <v>HAUTE LOIRE</v>
          </cell>
        </row>
        <row r="47">
          <cell r="A47">
            <v>44</v>
          </cell>
          <cell r="B47" t="str">
            <v>LOIRE ATLANTIQUE</v>
          </cell>
        </row>
        <row r="48">
          <cell r="A48">
            <v>45</v>
          </cell>
          <cell r="B48" t="str">
            <v>LOIRET</v>
          </cell>
        </row>
        <row r="49">
          <cell r="A49">
            <v>46</v>
          </cell>
          <cell r="B49" t="str">
            <v>LOT</v>
          </cell>
        </row>
        <row r="50">
          <cell r="A50">
            <v>47</v>
          </cell>
          <cell r="B50" t="str">
            <v>LOT ET GARONNE</v>
          </cell>
        </row>
        <row r="51">
          <cell r="A51">
            <v>48</v>
          </cell>
          <cell r="B51" t="str">
            <v>LOZERE</v>
          </cell>
        </row>
        <row r="52">
          <cell r="A52">
            <v>49</v>
          </cell>
          <cell r="B52" t="str">
            <v>MAINE ET LOIRE</v>
          </cell>
        </row>
        <row r="53">
          <cell r="A53">
            <v>50</v>
          </cell>
          <cell r="B53" t="str">
            <v>MANCHE</v>
          </cell>
        </row>
        <row r="54">
          <cell r="A54">
            <v>51</v>
          </cell>
          <cell r="B54" t="str">
            <v>MARNE</v>
          </cell>
        </row>
        <row r="55">
          <cell r="A55">
            <v>52</v>
          </cell>
          <cell r="B55" t="str">
            <v>HAUTE MARNE</v>
          </cell>
        </row>
        <row r="56">
          <cell r="A56">
            <v>53</v>
          </cell>
          <cell r="B56" t="str">
            <v>MAYENNE</v>
          </cell>
        </row>
        <row r="57">
          <cell r="A57">
            <v>54</v>
          </cell>
          <cell r="B57" t="str">
            <v>MEURTHE ET MOSELLE</v>
          </cell>
        </row>
        <row r="58">
          <cell r="A58">
            <v>55</v>
          </cell>
          <cell r="B58" t="str">
            <v>MEUSE</v>
          </cell>
        </row>
        <row r="59">
          <cell r="A59">
            <v>56</v>
          </cell>
          <cell r="B59" t="str">
            <v>MORBIHAN</v>
          </cell>
        </row>
        <row r="60">
          <cell r="A60">
            <v>57</v>
          </cell>
          <cell r="B60" t="str">
            <v>MOSELLE</v>
          </cell>
        </row>
        <row r="61">
          <cell r="A61">
            <v>58</v>
          </cell>
          <cell r="B61" t="str">
            <v>NIEVRE</v>
          </cell>
        </row>
        <row r="62">
          <cell r="A62">
            <v>59</v>
          </cell>
          <cell r="B62" t="str">
            <v>NORD</v>
          </cell>
        </row>
        <row r="63">
          <cell r="A63">
            <v>60</v>
          </cell>
          <cell r="B63" t="str">
            <v>OISE</v>
          </cell>
        </row>
        <row r="64">
          <cell r="A64">
            <v>61</v>
          </cell>
          <cell r="B64" t="str">
            <v>ORNE</v>
          </cell>
        </row>
        <row r="65">
          <cell r="A65">
            <v>62</v>
          </cell>
          <cell r="B65" t="str">
            <v>PAS DE CALAIS</v>
          </cell>
        </row>
        <row r="66">
          <cell r="A66">
            <v>63</v>
          </cell>
          <cell r="B66" t="str">
            <v>PUY DE DOME</v>
          </cell>
        </row>
        <row r="67">
          <cell r="A67">
            <v>64</v>
          </cell>
          <cell r="B67" t="str">
            <v>PYRENEES ATLANTIQUES</v>
          </cell>
        </row>
        <row r="68">
          <cell r="A68">
            <v>65</v>
          </cell>
          <cell r="B68" t="str">
            <v>HAUTES PYRENEES</v>
          </cell>
        </row>
        <row r="69">
          <cell r="A69">
            <v>66</v>
          </cell>
          <cell r="B69" t="str">
            <v>PYRENEES ORIENTALES</v>
          </cell>
        </row>
        <row r="70">
          <cell r="A70">
            <v>67</v>
          </cell>
          <cell r="B70" t="str">
            <v>BAS RHIN</v>
          </cell>
        </row>
        <row r="71">
          <cell r="A71">
            <v>68</v>
          </cell>
          <cell r="B71" t="str">
            <v>HAUT RHIN</v>
          </cell>
        </row>
        <row r="72">
          <cell r="A72">
            <v>69</v>
          </cell>
          <cell r="B72" t="str">
            <v>RHONE</v>
          </cell>
        </row>
        <row r="73">
          <cell r="A73">
            <v>70</v>
          </cell>
          <cell r="B73" t="str">
            <v>HAUTE SAONE</v>
          </cell>
        </row>
        <row r="74">
          <cell r="A74">
            <v>71</v>
          </cell>
          <cell r="B74" t="str">
            <v>SAONE ET LOIRE</v>
          </cell>
        </row>
        <row r="75">
          <cell r="A75">
            <v>72</v>
          </cell>
          <cell r="B75" t="str">
            <v>SARTHE</v>
          </cell>
        </row>
        <row r="76">
          <cell r="A76">
            <v>73</v>
          </cell>
          <cell r="B76" t="str">
            <v>SAVOIE</v>
          </cell>
        </row>
        <row r="77">
          <cell r="A77">
            <v>74</v>
          </cell>
          <cell r="B77" t="str">
            <v>HAUTE SAVOIE</v>
          </cell>
        </row>
        <row r="78">
          <cell r="A78">
            <v>75</v>
          </cell>
          <cell r="B78" t="str">
            <v>PARIS</v>
          </cell>
        </row>
        <row r="79">
          <cell r="A79">
            <v>76</v>
          </cell>
          <cell r="B79" t="str">
            <v>SEINE MARITIME</v>
          </cell>
        </row>
        <row r="80">
          <cell r="A80">
            <v>77</v>
          </cell>
          <cell r="B80" t="str">
            <v>SEINE ET MARNE</v>
          </cell>
        </row>
        <row r="81">
          <cell r="A81">
            <v>78</v>
          </cell>
          <cell r="B81" t="str">
            <v>YVELINES</v>
          </cell>
        </row>
        <row r="82">
          <cell r="A82">
            <v>79</v>
          </cell>
          <cell r="B82" t="str">
            <v>DEUX SEVRES</v>
          </cell>
        </row>
        <row r="83">
          <cell r="A83">
            <v>80</v>
          </cell>
          <cell r="B83" t="str">
            <v>SOMME</v>
          </cell>
        </row>
        <row r="84">
          <cell r="A84">
            <v>81</v>
          </cell>
          <cell r="B84" t="str">
            <v>TARN</v>
          </cell>
        </row>
        <row r="85">
          <cell r="A85">
            <v>82</v>
          </cell>
          <cell r="B85" t="str">
            <v>TARN ET GARONNE</v>
          </cell>
        </row>
        <row r="86">
          <cell r="A86">
            <v>83</v>
          </cell>
          <cell r="B86" t="str">
            <v>VAR</v>
          </cell>
        </row>
        <row r="87">
          <cell r="A87">
            <v>84</v>
          </cell>
          <cell r="B87" t="str">
            <v>VAUCLUSE</v>
          </cell>
        </row>
        <row r="88">
          <cell r="A88">
            <v>85</v>
          </cell>
          <cell r="B88" t="str">
            <v>VENDEE</v>
          </cell>
        </row>
        <row r="89">
          <cell r="A89">
            <v>86</v>
          </cell>
          <cell r="B89" t="str">
            <v>VIENNE</v>
          </cell>
        </row>
        <row r="90">
          <cell r="A90">
            <v>87</v>
          </cell>
          <cell r="B90" t="str">
            <v>HAUTE VIENNE</v>
          </cell>
        </row>
        <row r="91">
          <cell r="A91">
            <v>88</v>
          </cell>
          <cell r="B91" t="str">
            <v>VOSGES</v>
          </cell>
        </row>
        <row r="92">
          <cell r="A92">
            <v>89</v>
          </cell>
          <cell r="B92" t="str">
            <v>YONNE</v>
          </cell>
        </row>
        <row r="93">
          <cell r="A93">
            <v>90</v>
          </cell>
          <cell r="B93" t="str">
            <v>TERRITOIRE DE BELFORT</v>
          </cell>
        </row>
        <row r="94">
          <cell r="A94">
            <v>91</v>
          </cell>
          <cell r="B94" t="str">
            <v>ESSONNE</v>
          </cell>
        </row>
        <row r="95">
          <cell r="A95">
            <v>92</v>
          </cell>
          <cell r="B95" t="str">
            <v>HAUTS DE SEINE</v>
          </cell>
        </row>
        <row r="96">
          <cell r="A96">
            <v>93</v>
          </cell>
          <cell r="B96" t="str">
            <v>SEINE SAINT DENIS</v>
          </cell>
        </row>
        <row r="97">
          <cell r="A97">
            <v>94</v>
          </cell>
          <cell r="B97" t="str">
            <v>VAL DE MARNE</v>
          </cell>
        </row>
        <row r="98">
          <cell r="A98">
            <v>95</v>
          </cell>
          <cell r="B98" t="str">
            <v>VAL D'OISE</v>
          </cell>
        </row>
        <row r="99">
          <cell r="A99">
            <v>971</v>
          </cell>
          <cell r="B99" t="str">
            <v>GUADELOUPE</v>
          </cell>
        </row>
        <row r="100">
          <cell r="A100">
            <v>972</v>
          </cell>
          <cell r="B100" t="str">
            <v>MARTINIQUE</v>
          </cell>
        </row>
        <row r="101">
          <cell r="A101">
            <v>973</v>
          </cell>
          <cell r="B101" t="str">
            <v>GUYANE</v>
          </cell>
        </row>
        <row r="102">
          <cell r="A102">
            <v>974</v>
          </cell>
          <cell r="B102" t="str">
            <v>REUNION</v>
          </cell>
        </row>
        <row r="103">
          <cell r="A103">
            <v>975</v>
          </cell>
          <cell r="B103" t="str">
            <v>ST-PIERRE ET MIQUELON</v>
          </cell>
        </row>
        <row r="104">
          <cell r="A104">
            <v>976</v>
          </cell>
          <cell r="B104" t="str">
            <v>MAYOTTE</v>
          </cell>
        </row>
        <row r="105">
          <cell r="A105">
            <v>988</v>
          </cell>
          <cell r="B105" t="str">
            <v>NOUVELLE CALEDONIE</v>
          </cell>
        </row>
        <row r="106">
          <cell r="A106">
            <v>987</v>
          </cell>
          <cell r="B106" t="str">
            <v>POLYNESIE FRANCAISE</v>
          </cell>
        </row>
        <row r="107">
          <cell r="A107">
            <v>986</v>
          </cell>
          <cell r="B107" t="str">
            <v>WALLIS ET FUTUNA</v>
          </cell>
        </row>
        <row r="108">
          <cell r="A108">
            <v>991</v>
          </cell>
          <cell r="B108" t="str">
            <v>MONACO</v>
          </cell>
        </row>
        <row r="109">
          <cell r="A109">
            <v>99</v>
          </cell>
          <cell r="B109" t="str">
            <v>AUTRES</v>
          </cell>
        </row>
        <row r="110">
          <cell r="A110" t="str">
            <v>REPARTITION PAR REGION (uniquement pour les licences non réparties par département)</v>
          </cell>
        </row>
        <row r="111">
          <cell r="A111">
            <v>42</v>
          </cell>
          <cell r="B111" t="str">
            <v>ALSACE</v>
          </cell>
        </row>
        <row r="112">
          <cell r="A112">
            <v>72</v>
          </cell>
          <cell r="B112" t="str">
            <v>AQUITAINE</v>
          </cell>
        </row>
        <row r="113">
          <cell r="A113">
            <v>83</v>
          </cell>
          <cell r="B113" t="str">
            <v>AUVERGNE</v>
          </cell>
        </row>
        <row r="114">
          <cell r="A114">
            <v>26</v>
          </cell>
          <cell r="B114" t="str">
            <v>BOURGOGNE</v>
          </cell>
        </row>
        <row r="115">
          <cell r="A115">
            <v>53</v>
          </cell>
          <cell r="B115" t="str">
            <v>BRETAGNE</v>
          </cell>
        </row>
        <row r="116">
          <cell r="A116">
            <v>24</v>
          </cell>
          <cell r="B116" t="str">
            <v>CENTRE</v>
          </cell>
        </row>
        <row r="117">
          <cell r="A117">
            <v>21</v>
          </cell>
          <cell r="B117" t="str">
            <v>CHAMPAGNE-ARDENNE</v>
          </cell>
        </row>
        <row r="118">
          <cell r="A118">
            <v>94</v>
          </cell>
          <cell r="B118" t="str">
            <v>CORSE</v>
          </cell>
        </row>
        <row r="119">
          <cell r="A119">
            <v>43</v>
          </cell>
          <cell r="B119" t="str">
            <v>FRANCHE COMTE</v>
          </cell>
        </row>
        <row r="120">
          <cell r="A120">
            <v>11</v>
          </cell>
          <cell r="B120" t="str">
            <v>ILE DE FRANCE</v>
          </cell>
        </row>
        <row r="121">
          <cell r="A121">
            <v>91</v>
          </cell>
          <cell r="B121" t="str">
            <v>LANGUEDOC ROUSSILLON</v>
          </cell>
        </row>
        <row r="122">
          <cell r="A122">
            <v>74</v>
          </cell>
          <cell r="B122" t="str">
            <v>LIMOUSIN</v>
          </cell>
        </row>
        <row r="123">
          <cell r="A123">
            <v>41</v>
          </cell>
          <cell r="B123" t="str">
            <v>LORRAINE</v>
          </cell>
        </row>
        <row r="124">
          <cell r="A124">
            <v>73</v>
          </cell>
          <cell r="B124" t="str">
            <v>MIDI PYRENEES</v>
          </cell>
        </row>
        <row r="125">
          <cell r="A125">
            <v>31</v>
          </cell>
          <cell r="B125" t="str">
            <v>NORD PAS DE CALAIS</v>
          </cell>
        </row>
        <row r="126">
          <cell r="A126">
            <v>25</v>
          </cell>
          <cell r="B126" t="str">
            <v>BASSE NORMANDIE</v>
          </cell>
        </row>
        <row r="127">
          <cell r="A127">
            <v>23</v>
          </cell>
          <cell r="B127" t="str">
            <v>HAUTE NORMANDIE</v>
          </cell>
        </row>
        <row r="128">
          <cell r="A128">
            <v>52</v>
          </cell>
          <cell r="B128" t="str">
            <v>PAYS DE LA LOIRE</v>
          </cell>
        </row>
        <row r="129">
          <cell r="A129">
            <v>22</v>
          </cell>
          <cell r="B129" t="str">
            <v>PICARDIE</v>
          </cell>
        </row>
        <row r="130">
          <cell r="A130">
            <v>54</v>
          </cell>
          <cell r="B130" t="str">
            <v>POITOU CHARENTES</v>
          </cell>
        </row>
        <row r="131">
          <cell r="A131">
            <v>93</v>
          </cell>
          <cell r="B131" t="str">
            <v>PROVENCE ALPES CÔTE D'AZUR</v>
          </cell>
        </row>
        <row r="132">
          <cell r="A132">
            <v>82</v>
          </cell>
          <cell r="B132" t="str">
            <v>RHONE ALPES</v>
          </cell>
        </row>
        <row r="133">
          <cell r="A133">
            <v>0</v>
          </cell>
          <cell r="B133" t="str">
            <v>DOM TOM</v>
          </cell>
        </row>
        <row r="134">
          <cell r="A134" t="str">
            <v>NON REPARTIES DEPARTEMENT / REGION</v>
          </cell>
        </row>
        <row r="135">
          <cell r="A135" t="str">
            <v>TOTAL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enuMedian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CC3D50-7DAB-7543-BAF7-4E20AC9D6AD8}" name="Tableau1" displayName="Tableau1" ref="A2:F106" totalsRowShown="0" headerRowDxfId="14" dataDxfId="12" headerRowBorderDxfId="13" tableBorderDxfId="11" totalsRowBorderDxfId="10">
  <autoFilter ref="A2:F106" xr:uid="{21CC3D50-7DAB-7543-BAF7-4E20AC9D6AD8}"/>
  <sortState xmlns:xlrd2="http://schemas.microsoft.com/office/spreadsheetml/2017/richdata2" ref="A3:F106">
    <sortCondition ref="F2:F106"/>
  </sortState>
  <tableColumns count="6">
    <tableColumn id="1" xr3:uid="{7D367BFF-AAB3-E646-9E89-C5DC232653C7}" name="Dep" dataDxfId="9"/>
    <tableColumn id="2" xr3:uid="{33522D56-EF35-6E46-80B2-B0FCF9E29E56}" name="Code département" dataDxfId="8"/>
    <tableColumn id="3" xr3:uid="{2D5563B3-559E-F94A-A737-E3C56916B1A9}" name="Licxences" dataDxfId="7"/>
    <tableColumn id="4" xr3:uid="{4337F596-06FA-D24B-9A19-6A105C36128C}" name="Population départementale" dataDxfId="6"/>
    <tableColumn id="5" xr3:uid="{82EE2552-0A5E-2145-A9FA-B63318808B76}" name="Part de Population départementale" dataDxfId="5"/>
    <tableColumn id="7" xr3:uid="{09745EB5-F240-F941-986D-849340E2EE19}" name="Revenu median" dataDxfId="4">
      <calculatedColumnFormula>VLOOKUP(Tableau1[[#This Row],[Code département]],'Source 2'!A:C, 3, FALSE)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D5187D-1B0F-0446-B228-47094DB3846B}" name="Tableau3" displayName="Tableau3" ref="A4:C101" totalsRowShown="0" headerRowDxfId="3" headerRowCellStyle="Normal_Tableaux CC_Ctes annuels_Prod_2015">
  <autoFilter ref="A4:C101" xr:uid="{F9D5187D-1B0F-0446-B228-47094DB3846B}"/>
  <tableColumns count="3">
    <tableColumn id="1" xr3:uid="{18B6CC9A-4C2E-6A48-A5C9-11CBB83E49CD}" name="Code département" dataDxfId="2" dataCellStyle="Normal_Tableaux CC_Ctes annuels_Prod_2015"/>
    <tableColumn id="2" xr3:uid="{3182D525-6B37-A940-8F3A-48D22C9062F6}" name="Département" dataDxfId="1" dataCellStyle="Normal_Tableaux CC_Ctes annuels_Prod_2015"/>
    <tableColumn id="3" xr3:uid="{5B22DB39-7D3B-C64E-89B3-AE9CFE7F129E}" name="Niveau de vie annuel médian" dataDxfId="0" dataCellStyle="Normal 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485CC-E82F-854B-AFD5-D0BD5BC6B852}">
  <dimension ref="A2:P110"/>
  <sheetViews>
    <sheetView showWhiteSpace="0" topLeftCell="A5" zoomScale="75" zoomScaleNormal="100" workbookViewId="0">
      <selection activeCell="M19" sqref="M19"/>
    </sheetView>
  </sheetViews>
  <sheetFormatPr baseColWidth="10" defaultRowHeight="16" x14ac:dyDescent="0.2"/>
  <cols>
    <col min="1" max="1" width="18.6640625" style="26" customWidth="1"/>
    <col min="2" max="2" width="10.83203125" style="26"/>
    <col min="3" max="3" width="9.83203125" style="28" bestFit="1" customWidth="1"/>
    <col min="4" max="4" width="17.1640625" style="26" customWidth="1"/>
    <col min="5" max="5" width="13.6640625" style="26" customWidth="1"/>
    <col min="6" max="6" width="11" style="26" customWidth="1"/>
    <col min="7" max="7" width="36.1640625" style="26" customWidth="1"/>
    <col min="8" max="8" width="31.5" style="26" bestFit="1" customWidth="1"/>
    <col min="9" max="9" width="14.33203125" style="26" bestFit="1" customWidth="1"/>
    <col min="10" max="10" width="16.83203125" style="26" bestFit="1" customWidth="1"/>
    <col min="11" max="11" width="17.83203125" style="26" bestFit="1" customWidth="1"/>
    <col min="12" max="12" width="47.6640625" style="26" customWidth="1"/>
    <col min="13" max="13" width="41.6640625" style="26" customWidth="1"/>
    <col min="14" max="14" width="40.6640625" style="26" customWidth="1"/>
    <col min="15" max="15" width="41.5" style="26" bestFit="1" customWidth="1"/>
    <col min="16" max="16" width="42.6640625" style="26" bestFit="1" customWidth="1"/>
    <col min="17" max="16384" width="10.83203125" style="26"/>
  </cols>
  <sheetData>
    <row r="2" spans="1:6" ht="64" x14ac:dyDescent="0.2">
      <c r="A2" s="42" t="s">
        <v>220</v>
      </c>
      <c r="B2" s="43" t="s">
        <v>219</v>
      </c>
      <c r="C2" s="44" t="s">
        <v>576</v>
      </c>
      <c r="D2" s="45" t="s">
        <v>116</v>
      </c>
      <c r="E2" s="46" t="s">
        <v>609</v>
      </c>
      <c r="F2" s="47" t="s">
        <v>577</v>
      </c>
    </row>
    <row r="3" spans="1:6" ht="14.25" customHeight="1" x14ac:dyDescent="0.2">
      <c r="A3" s="31" t="s">
        <v>100</v>
      </c>
      <c r="B3" s="32" t="str">
        <f t="shared" ref="B3:B34" si="0">TRIM(LEFT(A3,3))</f>
        <v>974</v>
      </c>
      <c r="C3" s="33">
        <v>173837</v>
      </c>
      <c r="D3" s="33">
        <v>892102</v>
      </c>
      <c r="E3" s="35">
        <v>0.19486224669376401</v>
      </c>
      <c r="F3" s="34">
        <f>VLOOKUP(Tableau1[[#This Row],[Code département]],'Source 2'!A:C, 3, FALSE)</f>
        <v>19110</v>
      </c>
    </row>
    <row r="4" spans="1:6" ht="14.25" customHeight="1" x14ac:dyDescent="0.2">
      <c r="A4" s="31" t="s">
        <v>93</v>
      </c>
      <c r="B4" s="32" t="str">
        <f t="shared" si="0"/>
        <v>93</v>
      </c>
      <c r="C4" s="33">
        <v>243240</v>
      </c>
      <c r="D4" s="33">
        <v>1702158</v>
      </c>
      <c r="E4" s="35">
        <v>0.14290095279051701</v>
      </c>
      <c r="F4" s="34">
        <f>VLOOKUP(Tableau1[[#This Row],[Code département]],'Source 2'!A:C, 3, FALSE)</f>
        <v>21250</v>
      </c>
    </row>
    <row r="5" spans="1:6" ht="14.25" customHeight="1" x14ac:dyDescent="0.2">
      <c r="A5" s="31" t="s">
        <v>10</v>
      </c>
      <c r="B5" s="32" t="str">
        <f t="shared" si="0"/>
        <v>11</v>
      </c>
      <c r="C5" s="33">
        <v>92766</v>
      </c>
      <c r="D5" s="33">
        <v>379190</v>
      </c>
      <c r="E5" s="35">
        <v>0.24464252749281401</v>
      </c>
      <c r="F5" s="34">
        <f>VLOOKUP(Tableau1[[#This Row],[Code département]],'Source 2'!A:C, 3, FALSE)</f>
        <v>23060</v>
      </c>
    </row>
    <row r="6" spans="1:6" ht="14.25" customHeight="1" x14ac:dyDescent="0.2">
      <c r="A6" s="31" t="s">
        <v>66</v>
      </c>
      <c r="B6" s="32" t="str">
        <f t="shared" si="0"/>
        <v>66</v>
      </c>
      <c r="C6" s="33">
        <v>128970</v>
      </c>
      <c r="D6" s="33">
        <v>500103</v>
      </c>
      <c r="E6" s="35">
        <v>0.25788687530368698</v>
      </c>
      <c r="F6" s="34">
        <f>VLOOKUP(Tableau1[[#This Row],[Code département]],'Source 2'!A:C, 3, FALSE)</f>
        <v>23080</v>
      </c>
    </row>
    <row r="7" spans="1:6" ht="14.25" customHeight="1" x14ac:dyDescent="0.2">
      <c r="A7" s="31" t="s">
        <v>21</v>
      </c>
      <c r="B7" s="32" t="str">
        <f t="shared" si="0"/>
        <v>23</v>
      </c>
      <c r="C7" s="33">
        <v>29468</v>
      </c>
      <c r="D7" s="33">
        <v>114600</v>
      </c>
      <c r="E7" s="35">
        <v>0.257137870855148</v>
      </c>
      <c r="F7" s="34">
        <f>VLOOKUP(Tableau1[[#This Row],[Code département]],'Source 2'!A:C, 3, FALSE)</f>
        <v>23210</v>
      </c>
    </row>
    <row r="8" spans="1:6" ht="14.25" customHeight="1" x14ac:dyDescent="0.2">
      <c r="A8" s="31" t="s">
        <v>62</v>
      </c>
      <c r="B8" s="32" t="str">
        <f t="shared" si="0"/>
        <v>62</v>
      </c>
      <c r="C8" s="33">
        <v>307191</v>
      </c>
      <c r="D8" s="33">
        <v>1453532</v>
      </c>
      <c r="E8" s="35">
        <v>0.21134106438661099</v>
      </c>
      <c r="F8" s="34">
        <f>VLOOKUP(Tableau1[[#This Row],[Code département]],'Source 2'!A:C, 3, FALSE)</f>
        <v>23260</v>
      </c>
    </row>
    <row r="9" spans="1:6" ht="14.25" customHeight="1" x14ac:dyDescent="0.2">
      <c r="A9" s="31" t="s">
        <v>1</v>
      </c>
      <c r="B9" s="32" t="str">
        <f t="shared" si="0"/>
        <v>02</v>
      </c>
      <c r="C9" s="33">
        <v>103338</v>
      </c>
      <c r="D9" s="33">
        <v>521152</v>
      </c>
      <c r="E9" s="35">
        <v>0.19828763969053201</v>
      </c>
      <c r="F9" s="34">
        <f>VLOOKUP(Tableau1[[#This Row],[Code département]],'Source 2'!A:C, 3, FALSE)</f>
        <v>23360</v>
      </c>
    </row>
    <row r="10" spans="1:6" ht="14.25" customHeight="1" x14ac:dyDescent="0.2">
      <c r="A10" s="31" t="s">
        <v>8</v>
      </c>
      <c r="B10" s="32" t="str">
        <f t="shared" si="0"/>
        <v>09</v>
      </c>
      <c r="C10" s="33">
        <v>45145</v>
      </c>
      <c r="D10" s="33">
        <v>156304</v>
      </c>
      <c r="E10" s="35">
        <v>0.28882818098065299</v>
      </c>
      <c r="F10" s="34">
        <f>VLOOKUP(Tableau1[[#This Row],[Code département]],'Source 2'!A:C, 3, FALSE)</f>
        <v>23360</v>
      </c>
    </row>
    <row r="11" spans="1:6" ht="14.25" customHeight="1" x14ac:dyDescent="0.2">
      <c r="A11" s="31" t="s">
        <v>7</v>
      </c>
      <c r="B11" s="32" t="str">
        <f t="shared" si="0"/>
        <v>08</v>
      </c>
      <c r="C11" s="33">
        <v>52676</v>
      </c>
      <c r="D11" s="33">
        <v>264556</v>
      </c>
      <c r="E11" s="35">
        <v>0.19911096327431599</v>
      </c>
      <c r="F11" s="34">
        <f>VLOOKUP(Tableau1[[#This Row],[Code département]],'Source 2'!A:C, 3, FALSE)</f>
        <v>23500</v>
      </c>
    </row>
    <row r="12" spans="1:6" ht="14.25" customHeight="1" x14ac:dyDescent="0.2">
      <c r="A12" s="31" t="s">
        <v>47</v>
      </c>
      <c r="B12" s="32" t="str">
        <f t="shared" si="0"/>
        <v>47</v>
      </c>
      <c r="C12" s="33">
        <v>90157</v>
      </c>
      <c r="D12" s="33">
        <v>332318</v>
      </c>
      <c r="E12" s="35">
        <v>0.27129737179448599</v>
      </c>
      <c r="F12" s="34">
        <f>VLOOKUP(Tableau1[[#This Row],[Code département]],'Source 2'!A:C, 3, FALSE)</f>
        <v>23730</v>
      </c>
    </row>
    <row r="13" spans="1:6" ht="14.25" customHeight="1" x14ac:dyDescent="0.2">
      <c r="A13" s="31" t="s">
        <v>59</v>
      </c>
      <c r="B13" s="32" t="str">
        <f t="shared" si="0"/>
        <v>59</v>
      </c>
      <c r="C13" s="33">
        <v>618246</v>
      </c>
      <c r="D13" s="33">
        <v>2616167</v>
      </c>
      <c r="E13" s="35">
        <v>0.236317482790663</v>
      </c>
      <c r="F13" s="34">
        <f>VLOOKUP(Tableau1[[#This Row],[Code département]],'Source 2'!A:C, 3, FALSE)</f>
        <v>23810</v>
      </c>
    </row>
    <row r="14" spans="1:6" ht="14.25" customHeight="1" x14ac:dyDescent="0.2">
      <c r="A14" s="31" t="s">
        <v>84</v>
      </c>
      <c r="B14" s="32" t="str">
        <f t="shared" si="0"/>
        <v>84</v>
      </c>
      <c r="C14" s="33">
        <v>146557</v>
      </c>
      <c r="D14" s="33">
        <v>572065</v>
      </c>
      <c r="E14" s="35">
        <v>0.25618941903455</v>
      </c>
      <c r="F14" s="34">
        <f>VLOOKUP(Tableau1[[#This Row],[Code département]],'Source 2'!A:C, 3, FALSE)</f>
        <v>23840</v>
      </c>
    </row>
    <row r="15" spans="1:6" ht="14.25" customHeight="1" x14ac:dyDescent="0.2">
      <c r="A15" s="31" t="s">
        <v>30</v>
      </c>
      <c r="B15" s="32" t="str">
        <f t="shared" si="0"/>
        <v>30</v>
      </c>
      <c r="C15" s="33">
        <v>198227</v>
      </c>
      <c r="D15" s="33">
        <v>772243</v>
      </c>
      <c r="E15" s="35">
        <v>0.25668992791129203</v>
      </c>
      <c r="F15" s="34">
        <f>VLOOKUP(Tableau1[[#This Row],[Code département]],'Source 2'!A:C, 3, FALSE)</f>
        <v>23930</v>
      </c>
    </row>
    <row r="16" spans="1:6" ht="14.25" customHeight="1" x14ac:dyDescent="0.2">
      <c r="A16" s="31" t="s">
        <v>52</v>
      </c>
      <c r="B16" s="32" t="str">
        <f t="shared" si="0"/>
        <v>52</v>
      </c>
      <c r="C16" s="33">
        <v>39432</v>
      </c>
      <c r="D16" s="33">
        <v>168009</v>
      </c>
      <c r="E16" s="35">
        <v>0.23470171240826401</v>
      </c>
      <c r="F16" s="34">
        <f>VLOOKUP(Tableau1[[#This Row],[Code département]],'Source 2'!A:C, 3, FALSE)</f>
        <v>23980</v>
      </c>
    </row>
    <row r="17" spans="1:15" ht="14.25" customHeight="1" x14ac:dyDescent="0.2">
      <c r="A17" s="31" t="s">
        <v>58</v>
      </c>
      <c r="B17" s="32" t="str">
        <f t="shared" si="0"/>
        <v>58</v>
      </c>
      <c r="C17" s="33">
        <v>47345</v>
      </c>
      <c r="D17" s="33">
        <v>200541</v>
      </c>
      <c r="E17" s="35">
        <v>0.23608638632499099</v>
      </c>
      <c r="F17" s="34">
        <f>VLOOKUP(Tableau1[[#This Row],[Code département]],'Source 2'!A:C, 3, FALSE)</f>
        <v>24010</v>
      </c>
    </row>
    <row r="18" spans="1:15" ht="14.25" customHeight="1" x14ac:dyDescent="0.2">
      <c r="A18" s="31" t="s">
        <v>36</v>
      </c>
      <c r="B18" s="32" t="str">
        <f t="shared" si="0"/>
        <v>36</v>
      </c>
      <c r="C18" s="33">
        <v>53372</v>
      </c>
      <c r="D18" s="33">
        <v>214525</v>
      </c>
      <c r="E18" s="35">
        <v>0.24879151614031</v>
      </c>
      <c r="F18" s="34">
        <f>VLOOKUP(Tableau1[[#This Row],[Code département]],'Source 2'!A:C, 3, FALSE)</f>
        <v>24020</v>
      </c>
    </row>
    <row r="19" spans="1:15" ht="14.25" customHeight="1" x14ac:dyDescent="0.2">
      <c r="A19" s="31" t="s">
        <v>61</v>
      </c>
      <c r="B19" s="32" t="str">
        <f t="shared" si="0"/>
        <v>61</v>
      </c>
      <c r="C19" s="33">
        <v>64290</v>
      </c>
      <c r="D19" s="33">
        <v>273419</v>
      </c>
      <c r="E19" s="35">
        <v>0.23513362275482</v>
      </c>
      <c r="F19" s="34">
        <f>VLOOKUP(Tableau1[[#This Row],[Code département]],'Source 2'!A:C, 3, FALSE)</f>
        <v>24110</v>
      </c>
    </row>
    <row r="20" spans="1:15" ht="14.25" customHeight="1" x14ac:dyDescent="0.2">
      <c r="A20" s="31" t="s">
        <v>9</v>
      </c>
      <c r="B20" s="32" t="str">
        <f t="shared" si="0"/>
        <v>10</v>
      </c>
      <c r="C20" s="33">
        <v>66966</v>
      </c>
      <c r="D20" s="33">
        <v>311187</v>
      </c>
      <c r="E20" s="35">
        <v>0.21519536484493201</v>
      </c>
      <c r="F20" s="34">
        <f>VLOOKUP(Tableau1[[#This Row],[Code département]],'Source 2'!A:C, 3, FALSE)</f>
        <v>24130</v>
      </c>
    </row>
    <row r="21" spans="1:15" ht="14.25" customHeight="1" x14ac:dyDescent="0.2">
      <c r="A21" s="31" t="s">
        <v>22</v>
      </c>
      <c r="B21" s="32" t="str">
        <f t="shared" si="0"/>
        <v>24</v>
      </c>
      <c r="C21" s="33">
        <v>98233</v>
      </c>
      <c r="D21" s="33">
        <v>417397</v>
      </c>
      <c r="E21" s="35">
        <v>0.235346684331703</v>
      </c>
      <c r="F21" s="34">
        <f>VLOOKUP(Tableau1[[#This Row],[Code département]],'Source 2'!A:C, 3, FALSE)</f>
        <v>24150</v>
      </c>
    </row>
    <row r="22" spans="1:15" ht="14.25" customHeight="1" x14ac:dyDescent="0.2">
      <c r="A22" s="31" t="s">
        <v>29</v>
      </c>
      <c r="B22" s="32" t="str">
        <f t="shared" si="0"/>
        <v>2B</v>
      </c>
      <c r="C22" s="33">
        <v>44402</v>
      </c>
      <c r="D22" s="33">
        <v>186724</v>
      </c>
      <c r="E22" s="35">
        <v>0.23779482016237899</v>
      </c>
      <c r="F22" s="34">
        <f>VLOOKUP(Tableau1[[#This Row],[Code département]],'Source 2'!A:C, 3, FALSE)</f>
        <v>24200</v>
      </c>
    </row>
    <row r="23" spans="1:15" ht="14.25" customHeight="1" x14ac:dyDescent="0.2">
      <c r="A23" s="31" t="s">
        <v>80</v>
      </c>
      <c r="B23" s="32" t="str">
        <f t="shared" si="0"/>
        <v>80</v>
      </c>
      <c r="C23" s="33">
        <v>132234</v>
      </c>
      <c r="D23" s="33">
        <v>561656</v>
      </c>
      <c r="E23" s="35">
        <v>0.235435925192645</v>
      </c>
      <c r="F23" s="34">
        <f>VLOOKUP(Tableau1[[#This Row],[Code département]],'Source 2'!A:C, 3, FALSE)</f>
        <v>24200</v>
      </c>
      <c r="G23" s="51" t="s">
        <v>586</v>
      </c>
      <c r="H23" s="52" t="s">
        <v>585</v>
      </c>
      <c r="I23" s="53" t="s">
        <v>583</v>
      </c>
      <c r="J23" s="53"/>
      <c r="K23" s="53"/>
      <c r="L23" s="53"/>
    </row>
    <row r="24" spans="1:15" ht="14.25" customHeight="1" x14ac:dyDescent="0.2">
      <c r="A24" s="31" t="s">
        <v>3</v>
      </c>
      <c r="B24" s="32" t="str">
        <f t="shared" si="0"/>
        <v>04</v>
      </c>
      <c r="C24" s="33">
        <v>45178</v>
      </c>
      <c r="D24" s="33">
        <v>168908</v>
      </c>
      <c r="E24" s="35">
        <v>0.26747104932862897</v>
      </c>
      <c r="F24" s="34">
        <f>VLOOKUP(Tableau1[[#This Row],[Code département]],'Source 2'!A:C, 3, FALSE)</f>
        <v>24240</v>
      </c>
      <c r="G24" s="26" t="s">
        <v>578</v>
      </c>
      <c r="H24" s="26">
        <f>_xlfn.COVARIANCE.S(F3:F106,E3:E106)</f>
        <v>9.6376502595330447</v>
      </c>
      <c r="I24" s="26" t="s">
        <v>614</v>
      </c>
    </row>
    <row r="25" spans="1:15" ht="14.25" customHeight="1" x14ac:dyDescent="0.2">
      <c r="A25" s="31" t="s">
        <v>48</v>
      </c>
      <c r="B25" s="32" t="str">
        <f t="shared" si="0"/>
        <v>48</v>
      </c>
      <c r="C25" s="33">
        <v>27837</v>
      </c>
      <c r="D25" s="33">
        <v>76512</v>
      </c>
      <c r="E25" s="35">
        <v>0.36382528230865702</v>
      </c>
      <c r="F25" s="34">
        <f>VLOOKUP(Tableau1[[#This Row],[Code département]],'Source 2'!A:C, 3, FALSE)</f>
        <v>24270</v>
      </c>
      <c r="G25" s="26" t="s">
        <v>582</v>
      </c>
      <c r="H25" s="26">
        <f>CORREL(Tableau1[Revenu median],Tableau1[Part de Population départementale])</f>
        <v>0.12110206800139962</v>
      </c>
      <c r="I25" s="26" t="s">
        <v>613</v>
      </c>
    </row>
    <row r="26" spans="1:15" ht="14.25" customHeight="1" x14ac:dyDescent="0.2">
      <c r="A26" s="31" t="s">
        <v>34</v>
      </c>
      <c r="B26" s="32" t="str">
        <f t="shared" si="0"/>
        <v>34</v>
      </c>
      <c r="C26" s="33">
        <v>276608</v>
      </c>
      <c r="D26" s="33">
        <v>1241541</v>
      </c>
      <c r="E26" s="35">
        <v>0.222794092180605</v>
      </c>
      <c r="F26" s="34">
        <f>VLOOKUP(Tableau1[[#This Row],[Code département]],'Source 2'!A:C, 3, FALSE)</f>
        <v>24280</v>
      </c>
      <c r="G26" s="26" t="s">
        <v>579</v>
      </c>
      <c r="H26" s="26">
        <f>RSQ(E3:E106,F3:F106)</f>
        <v>1.4665710874215625E-2</v>
      </c>
      <c r="I26" s="26" t="s">
        <v>584</v>
      </c>
    </row>
    <row r="27" spans="1:15" ht="14.25" customHeight="1" x14ac:dyDescent="0.2">
      <c r="A27" s="31" t="s">
        <v>65</v>
      </c>
      <c r="B27" s="32" t="str">
        <f t="shared" si="0"/>
        <v>65</v>
      </c>
      <c r="C27" s="33">
        <v>64246</v>
      </c>
      <c r="D27" s="33">
        <v>232145</v>
      </c>
      <c r="E27" s="35">
        <v>0.276749445389735</v>
      </c>
      <c r="F27" s="34">
        <f>VLOOKUP(Tableau1[[#This Row],[Code département]],'Source 2'!A:C, 3, FALSE)</f>
        <v>24320</v>
      </c>
      <c r="G27" s="26" t="s">
        <v>580</v>
      </c>
      <c r="H27" s="26">
        <f>INTERCEPT(E3:E106,F3:F106)</f>
        <v>0.20192328900227394</v>
      </c>
    </row>
    <row r="28" spans="1:15" ht="14.25" customHeight="1" x14ac:dyDescent="0.25">
      <c r="A28" s="31" t="s">
        <v>88</v>
      </c>
      <c r="B28" s="32" t="str">
        <f t="shared" si="0"/>
        <v>88</v>
      </c>
      <c r="C28" s="33">
        <v>84429</v>
      </c>
      <c r="D28" s="33">
        <v>354450</v>
      </c>
      <c r="E28" s="35">
        <v>0.23819720694033</v>
      </c>
      <c r="F28" s="34">
        <f>VLOOKUP(Tableau1[[#This Row],[Code département]],'Source 2'!A:C, 3, FALSE)</f>
        <v>24320</v>
      </c>
      <c r="G28" s="26" t="s">
        <v>581</v>
      </c>
      <c r="H28" s="26">
        <f>SLOPE(Tableau1[Part de Population départementale],Tableau1[Revenu median])</f>
        <v>2.2396689185848183E-6</v>
      </c>
      <c r="I28" s="50">
        <f>H28*5000</f>
        <v>1.1198344592924091E-2</v>
      </c>
      <c r="J28" s="54" t="s">
        <v>615</v>
      </c>
      <c r="K28" s="54"/>
      <c r="L28" s="54"/>
    </row>
    <row r="29" spans="1:15" ht="14.25" customHeight="1" x14ac:dyDescent="0.2">
      <c r="A29" s="31" t="s">
        <v>82</v>
      </c>
      <c r="B29" s="32" t="str">
        <f t="shared" si="0"/>
        <v>82</v>
      </c>
      <c r="C29" s="33">
        <v>75013</v>
      </c>
      <c r="D29" s="33">
        <v>267035</v>
      </c>
      <c r="E29" s="35">
        <v>0.280910742037561</v>
      </c>
      <c r="F29" s="34">
        <f>VLOOKUP(Tableau1[[#This Row],[Code département]],'Source 2'!A:C, 3, FALSE)</f>
        <v>24350</v>
      </c>
      <c r="H29" s="48"/>
      <c r="J29" s="49"/>
      <c r="K29" s="49"/>
      <c r="L29" s="49"/>
    </row>
    <row r="30" spans="1:15" ht="14.25" customHeight="1" x14ac:dyDescent="0.2">
      <c r="A30" s="31" t="s">
        <v>81</v>
      </c>
      <c r="B30" s="32" t="str">
        <f t="shared" si="0"/>
        <v>81</v>
      </c>
      <c r="C30" s="33">
        <v>115502</v>
      </c>
      <c r="D30" s="33">
        <v>399634</v>
      </c>
      <c r="E30" s="35">
        <v>0.28901945279931102</v>
      </c>
      <c r="F30" s="34">
        <f>VLOOKUP(Tableau1[[#This Row],[Code département]],'Source 2'!A:C, 3, FALSE)</f>
        <v>24420</v>
      </c>
    </row>
    <row r="31" spans="1:15" x14ac:dyDescent="0.2">
      <c r="A31" s="31" t="s">
        <v>2</v>
      </c>
      <c r="B31" s="32" t="str">
        <f t="shared" si="0"/>
        <v>03</v>
      </c>
      <c r="C31" s="33">
        <v>82873</v>
      </c>
      <c r="D31" s="33">
        <v>333234</v>
      </c>
      <c r="E31" s="35">
        <v>0.24869311054694301</v>
      </c>
      <c r="F31" s="34">
        <f>VLOOKUP(Tableau1[[#This Row],[Code département]],'Source 2'!A:C, 3, FALSE)</f>
        <v>24430</v>
      </c>
    </row>
    <row r="32" spans="1:15" x14ac:dyDescent="0.2">
      <c r="A32" s="31" t="s">
        <v>89</v>
      </c>
      <c r="B32" s="32" t="str">
        <f t="shared" si="0"/>
        <v>89</v>
      </c>
      <c r="C32" s="33">
        <v>71038</v>
      </c>
      <c r="D32" s="33">
        <v>331845</v>
      </c>
      <c r="E32" s="35">
        <v>0.214069821754132</v>
      </c>
      <c r="F32" s="34">
        <f>VLOOKUP(Tableau1[[#This Row],[Code département]],'Source 2'!A:C, 3, FALSE)</f>
        <v>24590</v>
      </c>
      <c r="G32" t="s">
        <v>610</v>
      </c>
      <c r="H32"/>
      <c r="I32"/>
      <c r="J32"/>
      <c r="K32"/>
      <c r="L32"/>
      <c r="M32"/>
      <c r="N32"/>
      <c r="O32"/>
    </row>
    <row r="33" spans="1:15" ht="17" thickBot="1" x14ac:dyDescent="0.25">
      <c r="A33" s="31" t="s">
        <v>17</v>
      </c>
      <c r="B33" s="32" t="str">
        <f t="shared" si="0"/>
        <v>18</v>
      </c>
      <c r="C33" s="33">
        <v>70288</v>
      </c>
      <c r="D33" s="33">
        <v>297019</v>
      </c>
      <c r="E33" s="35">
        <v>0.236644793767402</v>
      </c>
      <c r="F33" s="34">
        <f>VLOOKUP(Tableau1[[#This Row],[Code département]],'Source 2'!A:C, 3, FALSE)</f>
        <v>24730</v>
      </c>
      <c r="G33"/>
      <c r="H33"/>
      <c r="I33"/>
      <c r="J33"/>
      <c r="K33"/>
      <c r="L33"/>
      <c r="M33"/>
      <c r="N33"/>
      <c r="O33"/>
    </row>
    <row r="34" spans="1:15" x14ac:dyDescent="0.2">
      <c r="A34" s="31" t="s">
        <v>46</v>
      </c>
      <c r="B34" s="32" t="str">
        <f t="shared" si="0"/>
        <v>46</v>
      </c>
      <c r="C34" s="33">
        <v>50358</v>
      </c>
      <c r="D34" s="33">
        <v>176103</v>
      </c>
      <c r="E34" s="35">
        <v>0.285957649784501</v>
      </c>
      <c r="F34" s="34">
        <f>VLOOKUP(Tableau1[[#This Row],[Code département]],'Source 2'!A:C, 3, FALSE)</f>
        <v>24740</v>
      </c>
      <c r="G34" s="38" t="s">
        <v>587</v>
      </c>
      <c r="H34" s="38"/>
      <c r="I34"/>
      <c r="J34"/>
      <c r="K34"/>
      <c r="L34"/>
      <c r="M34"/>
      <c r="N34"/>
      <c r="O34"/>
    </row>
    <row r="35" spans="1:15" x14ac:dyDescent="0.2">
      <c r="A35" s="31" t="s">
        <v>55</v>
      </c>
      <c r="B35" s="32" t="str">
        <f t="shared" ref="B35:B66" si="1">TRIM(LEFT(A35,3))</f>
        <v>55</v>
      </c>
      <c r="C35" s="33">
        <v>47538</v>
      </c>
      <c r="D35" s="33">
        <v>178231</v>
      </c>
      <c r="E35" s="35">
        <v>0.26672127744331797</v>
      </c>
      <c r="F35" s="34">
        <f>VLOOKUP(Tableau1[[#This Row],[Code département]],'Source 2'!A:C, 3, FALSE)</f>
        <v>24740</v>
      </c>
      <c r="G35" t="s">
        <v>588</v>
      </c>
      <c r="H35">
        <v>0.12110206800140084</v>
      </c>
      <c r="I35"/>
      <c r="J35"/>
      <c r="K35"/>
      <c r="L35"/>
      <c r="M35"/>
      <c r="N35"/>
      <c r="O35"/>
    </row>
    <row r="36" spans="1:15" x14ac:dyDescent="0.2">
      <c r="A36" s="31" t="s">
        <v>87</v>
      </c>
      <c r="B36" s="32" t="str">
        <f t="shared" si="1"/>
        <v>87</v>
      </c>
      <c r="C36" s="33">
        <v>103192</v>
      </c>
      <c r="D36" s="33">
        <v>371847</v>
      </c>
      <c r="E36" s="35">
        <v>0.27751198745720701</v>
      </c>
      <c r="F36" s="34">
        <f>VLOOKUP(Tableau1[[#This Row],[Code département]],'Source 2'!A:C, 3, FALSE)</f>
        <v>24740</v>
      </c>
      <c r="G36" t="s">
        <v>589</v>
      </c>
      <c r="H36">
        <v>1.4665710874215915E-2</v>
      </c>
      <c r="I36"/>
      <c r="J36"/>
      <c r="K36"/>
      <c r="L36"/>
      <c r="M36"/>
      <c r="N36"/>
      <c r="O36"/>
    </row>
    <row r="37" spans="1:15" x14ac:dyDescent="0.2">
      <c r="A37" s="31" t="s">
        <v>70</v>
      </c>
      <c r="B37" s="32" t="str">
        <f t="shared" si="1"/>
        <v>70</v>
      </c>
      <c r="C37" s="33">
        <v>51180</v>
      </c>
      <c r="D37" s="33">
        <v>232626</v>
      </c>
      <c r="E37" s="35">
        <v>0.22000980114002699</v>
      </c>
      <c r="F37" s="34">
        <f>VLOOKUP(Tableau1[[#This Row],[Code département]],'Source 2'!A:C, 3, FALSE)</f>
        <v>24750</v>
      </c>
      <c r="G37" s="41" t="s">
        <v>589</v>
      </c>
      <c r="H37" s="41">
        <v>4.2937709886813457E-3</v>
      </c>
      <c r="I37"/>
      <c r="J37"/>
      <c r="K37"/>
      <c r="L37"/>
      <c r="M37"/>
      <c r="N37"/>
      <c r="O37"/>
    </row>
    <row r="38" spans="1:15" x14ac:dyDescent="0.2">
      <c r="A38" s="31" t="s">
        <v>32</v>
      </c>
      <c r="B38" s="32" t="str">
        <f t="shared" si="1"/>
        <v>32</v>
      </c>
      <c r="C38" s="33">
        <v>61357</v>
      </c>
      <c r="D38" s="33">
        <v>192920</v>
      </c>
      <c r="E38" s="35">
        <v>0.31804374870412599</v>
      </c>
      <c r="F38" s="34">
        <f>VLOOKUP(Tableau1[[#This Row],[Code département]],'Source 2'!A:C, 3, FALSE)</f>
        <v>24770</v>
      </c>
      <c r="G38" t="s">
        <v>590</v>
      </c>
      <c r="H38">
        <v>3.828172905662415E-2</v>
      </c>
      <c r="I38"/>
      <c r="J38"/>
      <c r="K38"/>
      <c r="L38"/>
      <c r="M38"/>
      <c r="N38"/>
      <c r="O38"/>
    </row>
    <row r="39" spans="1:15" ht="17" thickBot="1" x14ac:dyDescent="0.25">
      <c r="A39" s="31" t="s">
        <v>11</v>
      </c>
      <c r="B39" s="32" t="str">
        <f t="shared" si="1"/>
        <v>12</v>
      </c>
      <c r="C39" s="33">
        <v>85755</v>
      </c>
      <c r="D39" s="33">
        <v>278821</v>
      </c>
      <c r="E39" s="35">
        <v>0.30756291671000402</v>
      </c>
      <c r="F39" s="34">
        <f>VLOOKUP(Tableau1[[#This Row],[Code département]],'Source 2'!A:C, 3, FALSE)</f>
        <v>24780</v>
      </c>
      <c r="G39" s="36" t="s">
        <v>591</v>
      </c>
      <c r="H39" s="36">
        <v>97</v>
      </c>
      <c r="I39"/>
      <c r="J39"/>
      <c r="K39"/>
      <c r="L39"/>
      <c r="M39"/>
      <c r="N39"/>
      <c r="O39"/>
    </row>
    <row r="40" spans="1:15" x14ac:dyDescent="0.2">
      <c r="A40" s="31" t="s">
        <v>42</v>
      </c>
      <c r="B40" s="32" t="str">
        <f t="shared" si="1"/>
        <v>42</v>
      </c>
      <c r="C40" s="33">
        <v>197809</v>
      </c>
      <c r="D40" s="33">
        <v>775357</v>
      </c>
      <c r="E40" s="35">
        <v>0.255119899607536</v>
      </c>
      <c r="F40" s="34">
        <f>VLOOKUP(Tableau1[[#This Row],[Code département]],'Source 2'!A:C, 3, FALSE)</f>
        <v>24800</v>
      </c>
      <c r="G40"/>
      <c r="H40"/>
      <c r="I40"/>
      <c r="J40"/>
      <c r="K40"/>
      <c r="L40"/>
      <c r="M40"/>
      <c r="N40"/>
      <c r="O40"/>
    </row>
    <row r="41" spans="1:15" ht="17" thickBot="1" x14ac:dyDescent="0.25">
      <c r="A41" s="31" t="s">
        <v>6</v>
      </c>
      <c r="B41" s="32" t="str">
        <f t="shared" si="1"/>
        <v>07</v>
      </c>
      <c r="C41" s="33">
        <v>95765</v>
      </c>
      <c r="D41" s="33">
        <v>335833</v>
      </c>
      <c r="E41" s="35">
        <v>0.28515661057728098</v>
      </c>
      <c r="F41" s="34">
        <f>VLOOKUP(Tableau1[[#This Row],[Code département]],'Source 2'!A:C, 3, FALSE)</f>
        <v>24820</v>
      </c>
      <c r="G41" t="s">
        <v>592</v>
      </c>
      <c r="H41"/>
      <c r="I41"/>
      <c r="J41"/>
      <c r="K41"/>
      <c r="L41"/>
      <c r="M41"/>
      <c r="N41"/>
      <c r="O41"/>
    </row>
    <row r="42" spans="1:15" x14ac:dyDescent="0.2">
      <c r="A42" s="31" t="s">
        <v>14</v>
      </c>
      <c r="B42" s="32" t="str">
        <f t="shared" si="1"/>
        <v>15</v>
      </c>
      <c r="C42" s="33">
        <v>40048</v>
      </c>
      <c r="D42" s="33">
        <v>143964</v>
      </c>
      <c r="E42" s="35">
        <v>0.27818065627518002</v>
      </c>
      <c r="F42" s="34">
        <f>VLOOKUP(Tableau1[[#This Row],[Code département]],'Source 2'!A:C, 3, FALSE)</f>
        <v>24820</v>
      </c>
      <c r="G42" s="37"/>
      <c r="H42" s="37" t="s">
        <v>596</v>
      </c>
      <c r="I42" s="37" t="s">
        <v>597</v>
      </c>
      <c r="J42" s="37" t="s">
        <v>598</v>
      </c>
      <c r="K42" s="37" t="s">
        <v>599</v>
      </c>
      <c r="L42" s="37" t="s">
        <v>600</v>
      </c>
      <c r="M42"/>
      <c r="N42"/>
      <c r="O42"/>
    </row>
    <row r="43" spans="1:15" x14ac:dyDescent="0.2">
      <c r="A43" s="31" t="s">
        <v>15</v>
      </c>
      <c r="B43" s="32" t="str">
        <f t="shared" si="1"/>
        <v>16</v>
      </c>
      <c r="C43" s="33">
        <v>83369</v>
      </c>
      <c r="D43" s="33">
        <v>350672</v>
      </c>
      <c r="E43" s="35">
        <v>0.23774068075010299</v>
      </c>
      <c r="F43" s="34">
        <f>VLOOKUP(Tableau1[[#This Row],[Code département]],'Source 2'!A:C, 3, FALSE)</f>
        <v>24850</v>
      </c>
      <c r="G43" t="s">
        <v>593</v>
      </c>
      <c r="H43">
        <v>1</v>
      </c>
      <c r="I43">
        <v>2.0721739905088798E-3</v>
      </c>
      <c r="J43">
        <v>2.0721739905088798E-3</v>
      </c>
      <c r="K43" s="39">
        <v>1.4139795482877546</v>
      </c>
      <c r="L43" s="39">
        <v>0.23736060734523556</v>
      </c>
      <c r="M43"/>
      <c r="N43"/>
      <c r="O43"/>
    </row>
    <row r="44" spans="1:15" x14ac:dyDescent="0.2">
      <c r="A44" s="31" t="s">
        <v>18</v>
      </c>
      <c r="B44" s="32" t="str">
        <f t="shared" si="1"/>
        <v>19</v>
      </c>
      <c r="C44" s="33">
        <v>70883</v>
      </c>
      <c r="D44" s="33">
        <v>239704</v>
      </c>
      <c r="E44" s="35">
        <v>0.29571054300303701</v>
      </c>
      <c r="F44" s="34">
        <f>VLOOKUP(Tableau1[[#This Row],[Code département]],'Source 2'!A:C, 3, FALSE)</f>
        <v>24910</v>
      </c>
      <c r="G44" t="s">
        <v>594</v>
      </c>
      <c r="H44">
        <v>95</v>
      </c>
      <c r="I44">
        <v>0.13922162405865429</v>
      </c>
      <c r="J44">
        <v>1.4654907795647819E-3</v>
      </c>
      <c r="K44"/>
      <c r="L44"/>
      <c r="M44"/>
      <c r="N44"/>
      <c r="O44"/>
    </row>
    <row r="45" spans="1:15" ht="17" thickBot="1" x14ac:dyDescent="0.25">
      <c r="A45" s="31" t="s">
        <v>76</v>
      </c>
      <c r="B45" s="32" t="str">
        <f t="shared" si="1"/>
        <v>76</v>
      </c>
      <c r="C45" s="33">
        <v>268363</v>
      </c>
      <c r="D45" s="33">
        <v>1260312</v>
      </c>
      <c r="E45" s="35">
        <v>0.21293378147633299</v>
      </c>
      <c r="F45" s="34">
        <f>VLOOKUP(Tableau1[[#This Row],[Code département]],'Source 2'!A:C, 3, FALSE)</f>
        <v>24940</v>
      </c>
      <c r="G45" s="36" t="s">
        <v>114</v>
      </c>
      <c r="H45" s="36">
        <v>96</v>
      </c>
      <c r="I45" s="36">
        <v>0.14129379804916317</v>
      </c>
      <c r="J45" s="36"/>
      <c r="K45" s="36"/>
      <c r="L45" s="36"/>
      <c r="M45"/>
      <c r="N45"/>
      <c r="O45"/>
    </row>
    <row r="46" spans="1:15" ht="17" thickBot="1" x14ac:dyDescent="0.25">
      <c r="A46" s="31" t="s">
        <v>86</v>
      </c>
      <c r="B46" s="32" t="str">
        <f t="shared" si="1"/>
        <v>86</v>
      </c>
      <c r="C46" s="33">
        <v>117052</v>
      </c>
      <c r="D46" s="33">
        <v>437691</v>
      </c>
      <c r="E46" s="35">
        <v>0.26743067597917303</v>
      </c>
      <c r="F46" s="34">
        <f>VLOOKUP(Tableau1[[#This Row],[Code département]],'Source 2'!A:C, 3, FALSE)</f>
        <v>24940</v>
      </c>
      <c r="G46"/>
      <c r="H46"/>
      <c r="I46"/>
      <c r="J46"/>
      <c r="K46"/>
      <c r="L46"/>
      <c r="M46"/>
      <c r="N46"/>
      <c r="O46"/>
    </row>
    <row r="47" spans="1:15" x14ac:dyDescent="0.2">
      <c r="A47" s="31" t="s">
        <v>71</v>
      </c>
      <c r="B47" s="32" t="str">
        <f t="shared" si="1"/>
        <v>71</v>
      </c>
      <c r="C47" s="33">
        <v>126486</v>
      </c>
      <c r="D47" s="33">
        <v>546754</v>
      </c>
      <c r="E47" s="35">
        <v>0.23133987131324099</v>
      </c>
      <c r="F47" s="34">
        <f>VLOOKUP(Tableau1[[#This Row],[Code département]],'Source 2'!A:C, 3, FALSE)</f>
        <v>24970</v>
      </c>
      <c r="G47" s="37"/>
      <c r="H47" s="37" t="s">
        <v>601</v>
      </c>
      <c r="I47" s="37" t="s">
        <v>590</v>
      </c>
      <c r="J47" s="37" t="s">
        <v>602</v>
      </c>
      <c r="K47" s="37" t="s">
        <v>603</v>
      </c>
      <c r="L47" s="37" t="s">
        <v>604</v>
      </c>
      <c r="M47" s="37" t="s">
        <v>605</v>
      </c>
      <c r="N47" s="37" t="s">
        <v>606</v>
      </c>
      <c r="O47" s="37" t="s">
        <v>607</v>
      </c>
    </row>
    <row r="48" spans="1:15" x14ac:dyDescent="0.2">
      <c r="A48" s="31" t="s">
        <v>72</v>
      </c>
      <c r="B48" s="32" t="str">
        <f t="shared" si="1"/>
        <v>72</v>
      </c>
      <c r="C48" s="33">
        <v>151550</v>
      </c>
      <c r="D48" s="33">
        <v>564913</v>
      </c>
      <c r="E48" s="35">
        <v>0.26827139754263002</v>
      </c>
      <c r="F48" s="34">
        <f>VLOOKUP(Tableau1[[#This Row],[Code département]],'Source 2'!A:C, 3, FALSE)</f>
        <v>24990</v>
      </c>
      <c r="G48" t="s">
        <v>595</v>
      </c>
      <c r="H48">
        <v>0.20192328900227383</v>
      </c>
      <c r="I48">
        <v>4.8157065534860016E-2</v>
      </c>
      <c r="J48">
        <v>4.1930148101757831</v>
      </c>
      <c r="K48">
        <v>6.1774195919672719E-5</v>
      </c>
      <c r="L48">
        <v>0.10631942632331298</v>
      </c>
      <c r="M48">
        <v>0.29752715168123467</v>
      </c>
      <c r="N48">
        <v>0.10631942632331298</v>
      </c>
      <c r="O48">
        <v>0.29752715168123467</v>
      </c>
    </row>
    <row r="49" spans="1:16" ht="17" thickBot="1" x14ac:dyDescent="0.25">
      <c r="A49" s="31" t="s">
        <v>4</v>
      </c>
      <c r="B49" s="32" t="str">
        <f t="shared" si="1"/>
        <v>05</v>
      </c>
      <c r="C49" s="33">
        <v>53210</v>
      </c>
      <c r="D49" s="33">
        <v>141906</v>
      </c>
      <c r="E49" s="35">
        <v>0.37496652713768303</v>
      </c>
      <c r="F49" s="34">
        <f>VLOOKUP(Tableau1[[#This Row],[Code département]],'Source 2'!A:C, 3, FALSE)</f>
        <v>25060</v>
      </c>
      <c r="G49" s="36" t="s">
        <v>608</v>
      </c>
      <c r="H49" s="40">
        <v>2.2396689185848225E-6</v>
      </c>
      <c r="I49" s="36">
        <v>1.8834854043801289E-6</v>
      </c>
      <c r="J49" s="36">
        <v>1.1891087201293797</v>
      </c>
      <c r="K49" s="36">
        <v>0.23736060734523909</v>
      </c>
      <c r="L49" s="36">
        <v>-1.4995223705487859E-6</v>
      </c>
      <c r="M49" s="36">
        <v>5.9788602077184311E-6</v>
      </c>
      <c r="N49" s="36">
        <v>-1.4995223705487859E-6</v>
      </c>
      <c r="O49" s="36">
        <v>5.9788602077184311E-6</v>
      </c>
      <c r="P49"/>
    </row>
    <row r="50" spans="1:16" x14ac:dyDescent="0.2">
      <c r="A50" s="31" t="s">
        <v>79</v>
      </c>
      <c r="B50" s="32" t="str">
        <f t="shared" si="1"/>
        <v>79</v>
      </c>
      <c r="C50" s="33">
        <v>100984</v>
      </c>
      <c r="D50" s="33">
        <v>374890</v>
      </c>
      <c r="E50" s="35">
        <v>0.26936968177331999</v>
      </c>
      <c r="F50" s="34">
        <f>VLOOKUP(Tableau1[[#This Row],[Code département]],'Source 2'!A:C, 3, FALSE)</f>
        <v>25080</v>
      </c>
      <c r="H50"/>
      <c r="I50"/>
      <c r="J50"/>
      <c r="K50"/>
      <c r="L50"/>
      <c r="M50"/>
      <c r="N50"/>
      <c r="O50"/>
      <c r="P50"/>
    </row>
    <row r="51" spans="1:16" x14ac:dyDescent="0.2">
      <c r="A51" s="31" t="s">
        <v>43</v>
      </c>
      <c r="B51" s="32" t="str">
        <f t="shared" si="1"/>
        <v>43</v>
      </c>
      <c r="C51" s="33">
        <v>65147</v>
      </c>
      <c r="D51" s="33">
        <v>228010</v>
      </c>
      <c r="E51" s="35">
        <v>0.28571992456471201</v>
      </c>
      <c r="F51" s="34">
        <f>VLOOKUP(Tableau1[[#This Row],[Code département]],'Source 2'!A:C, 3, FALSE)</f>
        <v>25140</v>
      </c>
      <c r="H51"/>
      <c r="I51"/>
      <c r="J51"/>
      <c r="K51"/>
      <c r="L51"/>
      <c r="M51"/>
      <c r="N51"/>
      <c r="O51"/>
      <c r="P51"/>
    </row>
    <row r="52" spans="1:16" ht="14.25" customHeight="1" x14ac:dyDescent="0.2">
      <c r="A52" s="31" t="s">
        <v>53</v>
      </c>
      <c r="B52" s="32" t="str">
        <f t="shared" si="1"/>
        <v>53</v>
      </c>
      <c r="C52" s="33">
        <v>103751</v>
      </c>
      <c r="D52" s="33">
        <v>303859</v>
      </c>
      <c r="E52" s="35">
        <v>0.34144455158478099</v>
      </c>
      <c r="F52" s="34">
        <f>VLOOKUP(Tableau1[[#This Row],[Code département]],'Source 2'!A:C, 3, FALSE)</f>
        <v>25140</v>
      </c>
      <c r="G52" s="26" t="s">
        <v>611</v>
      </c>
    </row>
    <row r="53" spans="1:16" ht="14.25" customHeight="1" x14ac:dyDescent="0.2">
      <c r="A53" s="31" t="s">
        <v>24</v>
      </c>
      <c r="B53" s="32" t="str">
        <f t="shared" si="1"/>
        <v>26</v>
      </c>
      <c r="C53" s="33">
        <v>144146</v>
      </c>
      <c r="D53" s="33">
        <v>523457</v>
      </c>
      <c r="E53" s="35">
        <v>0.27537314430793702</v>
      </c>
      <c r="F53" s="34">
        <f>VLOOKUP(Tableau1[[#This Row],[Code département]],'Source 2'!A:C, 3, FALSE)</f>
        <v>25210</v>
      </c>
    </row>
    <row r="54" spans="1:16" ht="14.25" customHeight="1" x14ac:dyDescent="0.2">
      <c r="A54" s="31" t="s">
        <v>41</v>
      </c>
      <c r="B54" s="32" t="str">
        <f t="shared" si="1"/>
        <v>41</v>
      </c>
      <c r="C54" s="33">
        <v>86087</v>
      </c>
      <c r="D54" s="33">
        <v>328012</v>
      </c>
      <c r="E54" s="35">
        <v>0.26245076399643902</v>
      </c>
      <c r="F54" s="34">
        <f>VLOOKUP(Tableau1[[#This Row],[Code département]],'Source 2'!A:C, 3, FALSE)</f>
        <v>25240</v>
      </c>
      <c r="G54" s="56" t="s">
        <v>612</v>
      </c>
      <c r="H54" s="57"/>
      <c r="I54" s="57"/>
      <c r="J54" s="57"/>
      <c r="K54" s="57"/>
    </row>
    <row r="55" spans="1:16" ht="14.25" customHeight="1" x14ac:dyDescent="0.2">
      <c r="A55" s="31" t="s">
        <v>50</v>
      </c>
      <c r="B55" s="32" t="str">
        <f t="shared" si="1"/>
        <v>50</v>
      </c>
      <c r="C55" s="33">
        <v>134140</v>
      </c>
      <c r="D55" s="33">
        <v>496331</v>
      </c>
      <c r="E55" s="35">
        <v>0.27026319129774301</v>
      </c>
      <c r="F55" s="34">
        <f>VLOOKUP(Tableau1[[#This Row],[Code département]],'Source 2'!A:C, 3, FALSE)</f>
        <v>25430</v>
      </c>
      <c r="G55" s="56"/>
      <c r="H55" s="57"/>
      <c r="I55" s="57"/>
      <c r="J55" s="57"/>
      <c r="K55" s="57"/>
    </row>
    <row r="56" spans="1:16" ht="14.25" customHeight="1" x14ac:dyDescent="0.2">
      <c r="A56" s="31" t="s">
        <v>25</v>
      </c>
      <c r="B56" s="32" t="str">
        <f t="shared" si="1"/>
        <v>27</v>
      </c>
      <c r="C56" s="33">
        <v>141880</v>
      </c>
      <c r="D56" s="33">
        <v>601853</v>
      </c>
      <c r="E56" s="35">
        <v>0.235738627206311</v>
      </c>
      <c r="F56" s="34">
        <f>VLOOKUP(Tableau1[[#This Row],[Code département]],'Source 2'!A:C, 3, FALSE)</f>
        <v>25520</v>
      </c>
      <c r="G56" s="56"/>
      <c r="H56" s="57"/>
      <c r="I56" s="57"/>
      <c r="J56" s="57"/>
      <c r="K56" s="57"/>
    </row>
    <row r="57" spans="1:16" ht="14.25" customHeight="1" x14ac:dyDescent="0.2">
      <c r="A57" s="31" t="s">
        <v>49</v>
      </c>
      <c r="B57" s="32" t="str">
        <f t="shared" si="1"/>
        <v>49</v>
      </c>
      <c r="C57" s="33">
        <v>243313</v>
      </c>
      <c r="D57" s="33">
        <v>832858</v>
      </c>
      <c r="E57" s="35">
        <v>0.29214223793251698</v>
      </c>
      <c r="F57" s="34">
        <f>VLOOKUP(Tableau1[[#This Row],[Code département]],'Source 2'!A:C, 3, FALSE)</f>
        <v>25550</v>
      </c>
      <c r="G57" s="56"/>
      <c r="H57" s="57"/>
      <c r="I57" s="57"/>
      <c r="J57" s="57"/>
      <c r="K57" s="57"/>
    </row>
    <row r="58" spans="1:16" ht="14.25" customHeight="1" x14ac:dyDescent="0.2">
      <c r="A58" s="31" t="s">
        <v>20</v>
      </c>
      <c r="B58" s="32" t="str">
        <f t="shared" si="1"/>
        <v>22</v>
      </c>
      <c r="C58" s="33">
        <v>181468</v>
      </c>
      <c r="D58" s="33">
        <v>613301</v>
      </c>
      <c r="E58" s="35">
        <v>0.29588733753898999</v>
      </c>
      <c r="F58" s="34">
        <f>VLOOKUP(Tableau1[[#This Row],[Code département]],'Source 2'!A:C, 3, FALSE)</f>
        <v>25590</v>
      </c>
      <c r="G58" s="56"/>
      <c r="H58" s="57"/>
      <c r="I58" s="57"/>
      <c r="J58" s="57"/>
      <c r="K58" s="57"/>
    </row>
    <row r="59" spans="1:16" ht="14.25" customHeight="1" x14ac:dyDescent="0.2">
      <c r="A59" s="31" t="s">
        <v>13</v>
      </c>
      <c r="B59" s="32" t="str">
        <f t="shared" si="1"/>
        <v>14</v>
      </c>
      <c r="C59" s="33">
        <v>183425</v>
      </c>
      <c r="D59" s="33">
        <v>709128</v>
      </c>
      <c r="E59" s="35">
        <v>0.25866275199963901</v>
      </c>
      <c r="F59" s="34">
        <f>VLOOKUP(Tableau1[[#This Row],[Code département]],'Source 2'!A:C, 3, FALSE)</f>
        <v>25600</v>
      </c>
      <c r="G59" s="56"/>
      <c r="H59" s="57"/>
      <c r="I59" s="57"/>
      <c r="J59" s="57"/>
      <c r="K59" s="57"/>
    </row>
    <row r="60" spans="1:16" ht="14.25" customHeight="1" x14ac:dyDescent="0.2">
      <c r="A60" s="31" t="s">
        <v>12</v>
      </c>
      <c r="B60" s="32" t="str">
        <f t="shared" si="1"/>
        <v>13</v>
      </c>
      <c r="C60" s="33">
        <v>511364</v>
      </c>
      <c r="D60" s="33">
        <v>2083682</v>
      </c>
      <c r="E60" s="35">
        <v>0.24541364757194201</v>
      </c>
      <c r="F60" s="34">
        <f>VLOOKUP(Tableau1[[#This Row],[Code département]],'Source 2'!A:C, 3, FALSE)</f>
        <v>25610</v>
      </c>
    </row>
    <row r="61" spans="1:16" ht="14.25" customHeight="1" x14ac:dyDescent="0.2">
      <c r="A61" s="31" t="s">
        <v>40</v>
      </c>
      <c r="B61" s="32" t="str">
        <f t="shared" si="1"/>
        <v>40</v>
      </c>
      <c r="C61" s="33">
        <v>141001</v>
      </c>
      <c r="D61" s="33">
        <v>436872</v>
      </c>
      <c r="E61" s="35">
        <v>0.32275128641799</v>
      </c>
      <c r="F61" s="34">
        <f>VLOOKUP(Tableau1[[#This Row],[Code département]],'Source 2'!A:C, 3, FALSE)</f>
        <v>25650</v>
      </c>
    </row>
    <row r="62" spans="1:16" ht="14.25" customHeight="1" x14ac:dyDescent="0.2">
      <c r="A62" s="31" t="s">
        <v>51</v>
      </c>
      <c r="B62" s="32" t="str">
        <f t="shared" si="1"/>
        <v>51</v>
      </c>
      <c r="C62" s="33">
        <v>125778</v>
      </c>
      <c r="D62" s="33">
        <v>560550</v>
      </c>
      <c r="E62" s="35">
        <v>0.224383195076264</v>
      </c>
      <c r="F62" s="34">
        <f>VLOOKUP(Tableau1[[#This Row],[Code département]],'Source 2'!A:C, 3, FALSE)</f>
        <v>25700</v>
      </c>
    </row>
    <row r="63" spans="1:16" ht="14.25" customHeight="1" x14ac:dyDescent="0.2">
      <c r="A63" s="31" t="s">
        <v>16</v>
      </c>
      <c r="B63" s="32" t="str">
        <f t="shared" si="1"/>
        <v>17</v>
      </c>
      <c r="C63" s="33">
        <v>165025</v>
      </c>
      <c r="D63" s="33">
        <v>677189</v>
      </c>
      <c r="E63" s="35">
        <v>0.24369119994565799</v>
      </c>
      <c r="F63" s="34">
        <f>VLOOKUP(Tableau1[[#This Row],[Code département]],'Source 2'!A:C, 3, FALSE)</f>
        <v>25710</v>
      </c>
    </row>
    <row r="64" spans="1:16" ht="14.25" customHeight="1" x14ac:dyDescent="0.2">
      <c r="A64" s="31" t="s">
        <v>45</v>
      </c>
      <c r="B64" s="32" t="str">
        <f t="shared" si="1"/>
        <v>45</v>
      </c>
      <c r="C64" s="33">
        <v>185693</v>
      </c>
      <c r="D64" s="33">
        <v>689845</v>
      </c>
      <c r="E64" s="35">
        <v>0.26918075799636099</v>
      </c>
      <c r="F64" s="34">
        <f>VLOOKUP(Tableau1[[#This Row],[Code département]],'Source 2'!A:C, 3, FALSE)</f>
        <v>25800</v>
      </c>
    </row>
    <row r="65" spans="1:6" ht="14.25" customHeight="1" x14ac:dyDescent="0.2">
      <c r="A65" s="31" t="s">
        <v>85</v>
      </c>
      <c r="B65" s="32" t="str">
        <f t="shared" si="1"/>
        <v>85</v>
      </c>
      <c r="C65" s="33">
        <v>223676</v>
      </c>
      <c r="D65" s="33">
        <v>717667</v>
      </c>
      <c r="E65" s="35">
        <v>0.31167101176450901</v>
      </c>
      <c r="F65" s="34">
        <f>VLOOKUP(Tableau1[[#This Row],[Code département]],'Source 2'!A:C, 3, FALSE)</f>
        <v>25850</v>
      </c>
    </row>
    <row r="66" spans="1:6" ht="14.25" customHeight="1" x14ac:dyDescent="0.2">
      <c r="A66" s="31" t="s">
        <v>95</v>
      </c>
      <c r="B66" s="32" t="str">
        <f t="shared" si="1"/>
        <v>95</v>
      </c>
      <c r="C66" s="33">
        <v>263368</v>
      </c>
      <c r="D66" s="33">
        <v>1282581</v>
      </c>
      <c r="E66" s="35">
        <v>0.20534219671116299</v>
      </c>
      <c r="F66" s="34">
        <f>VLOOKUP(Tableau1[[#This Row],[Code département]],'Source 2'!A:C, 3, FALSE)</f>
        <v>25890</v>
      </c>
    </row>
    <row r="67" spans="1:6" ht="14.25" customHeight="1" x14ac:dyDescent="0.2">
      <c r="A67" s="31" t="s">
        <v>54</v>
      </c>
      <c r="B67" s="32" t="str">
        <f t="shared" ref="B67:B98" si="2">TRIM(LEFT(A67,3))</f>
        <v>54</v>
      </c>
      <c r="C67" s="33">
        <v>171007</v>
      </c>
      <c r="D67" s="33">
        <v>730498</v>
      </c>
      <c r="E67" s="35">
        <v>0.23409646569874301</v>
      </c>
      <c r="F67" s="34">
        <f>VLOOKUP(Tableau1[[#This Row],[Code département]],'Source 2'!A:C, 3, FALSE)</f>
        <v>25910</v>
      </c>
    </row>
    <row r="68" spans="1:6" ht="14.25" customHeight="1" x14ac:dyDescent="0.2">
      <c r="A68" s="31" t="s">
        <v>90</v>
      </c>
      <c r="B68" s="32" t="str">
        <f t="shared" si="2"/>
        <v>90</v>
      </c>
      <c r="C68" s="33">
        <v>32431</v>
      </c>
      <c r="D68" s="33">
        <v>138987</v>
      </c>
      <c r="E68" s="35">
        <v>0.233338369775591</v>
      </c>
      <c r="F68" s="34">
        <f>VLOOKUP(Tableau1[[#This Row],[Code département]],'Source 2'!A:C, 3, FALSE)</f>
        <v>25910</v>
      </c>
    </row>
    <row r="69" spans="1:6" ht="14.25" customHeight="1" x14ac:dyDescent="0.2">
      <c r="A69" s="31" t="s">
        <v>37</v>
      </c>
      <c r="B69" s="32" t="str">
        <f t="shared" si="2"/>
        <v>37</v>
      </c>
      <c r="C69" s="33">
        <v>162773</v>
      </c>
      <c r="D69" s="33">
        <v>619310</v>
      </c>
      <c r="E69" s="35">
        <v>0.26282960068463301</v>
      </c>
      <c r="F69" s="34">
        <f>VLOOKUP(Tableau1[[#This Row],[Code département]],'Source 2'!A:C, 3, FALSE)</f>
        <v>25930</v>
      </c>
    </row>
    <row r="70" spans="1:6" ht="14.25" customHeight="1" x14ac:dyDescent="0.2">
      <c r="A70" s="31" t="s">
        <v>83</v>
      </c>
      <c r="B70" s="32" t="str">
        <f t="shared" si="2"/>
        <v>83</v>
      </c>
      <c r="C70" s="33">
        <v>270616</v>
      </c>
      <c r="D70" s="33">
        <v>1126788</v>
      </c>
      <c r="E70" s="35">
        <v>0.240165851961505</v>
      </c>
      <c r="F70" s="34">
        <f>VLOOKUP(Tableau1[[#This Row],[Code département]],'Source 2'!A:C, 3, FALSE)</f>
        <v>25940</v>
      </c>
    </row>
    <row r="71" spans="1:6" ht="14.25" customHeight="1" x14ac:dyDescent="0.2">
      <c r="A71" s="31" t="s">
        <v>60</v>
      </c>
      <c r="B71" s="32" t="str">
        <f t="shared" si="2"/>
        <v>60</v>
      </c>
      <c r="C71" s="33">
        <v>204234</v>
      </c>
      <c r="D71" s="33">
        <v>830031</v>
      </c>
      <c r="E71" s="35">
        <v>0.24605587020243799</v>
      </c>
      <c r="F71" s="34">
        <f>VLOOKUP(Tableau1[[#This Row],[Code département]],'Source 2'!A:C, 3, FALSE)</f>
        <v>25970</v>
      </c>
    </row>
    <row r="72" spans="1:6" ht="14.25" customHeight="1" x14ac:dyDescent="0.2">
      <c r="A72" s="31" t="s">
        <v>26</v>
      </c>
      <c r="B72" s="32" t="str">
        <f t="shared" si="2"/>
        <v>28</v>
      </c>
      <c r="C72" s="33">
        <v>117260</v>
      </c>
      <c r="D72" s="33">
        <v>433304</v>
      </c>
      <c r="E72" s="35">
        <v>0.27061831877850201</v>
      </c>
      <c r="F72" s="34">
        <f>VLOOKUP(Tableau1[[#This Row],[Code département]],'Source 2'!A:C, 3, FALSE)</f>
        <v>25980</v>
      </c>
    </row>
    <row r="73" spans="1:6" ht="14.25" customHeight="1" x14ac:dyDescent="0.2">
      <c r="A73" s="31" t="s">
        <v>57</v>
      </c>
      <c r="B73" s="32" t="str">
        <f t="shared" si="2"/>
        <v>57</v>
      </c>
      <c r="C73" s="33">
        <v>262338</v>
      </c>
      <c r="D73" s="33">
        <v>1050897</v>
      </c>
      <c r="E73" s="35">
        <v>0.24963245684401</v>
      </c>
      <c r="F73" s="34">
        <f>VLOOKUP(Tableau1[[#This Row],[Code département]],'Source 2'!A:C, 3, FALSE)</f>
        <v>26030</v>
      </c>
    </row>
    <row r="74" spans="1:6" ht="14.25" customHeight="1" x14ac:dyDescent="0.2">
      <c r="A74" s="31" t="s">
        <v>63</v>
      </c>
      <c r="B74" s="32" t="str">
        <f t="shared" si="2"/>
        <v>63</v>
      </c>
      <c r="C74" s="33">
        <v>177483</v>
      </c>
      <c r="D74" s="33">
        <v>664135</v>
      </c>
      <c r="E74" s="35">
        <v>0.26723934139896299</v>
      </c>
      <c r="F74" s="34">
        <f>VLOOKUP(Tableau1[[#This Row],[Code département]],'Source 2'!A:C, 3, FALSE)</f>
        <v>26040</v>
      </c>
    </row>
    <row r="75" spans="1:6" ht="14.25" customHeight="1" x14ac:dyDescent="0.2">
      <c r="A75" s="31" t="s">
        <v>28</v>
      </c>
      <c r="B75" s="32" t="str">
        <f t="shared" si="2"/>
        <v>2A</v>
      </c>
      <c r="C75" s="33">
        <v>41228</v>
      </c>
      <c r="D75" s="33">
        <v>170513</v>
      </c>
      <c r="E75" s="35">
        <v>0.241788016162991</v>
      </c>
      <c r="F75" s="34">
        <f>VLOOKUP(Tableau1[[#This Row],[Code département]],'Source 2'!A:C, 3, FALSE)</f>
        <v>26050</v>
      </c>
    </row>
    <row r="76" spans="1:6" ht="14.25" customHeight="1" x14ac:dyDescent="0.2">
      <c r="A76" s="31" t="s">
        <v>39</v>
      </c>
      <c r="B76" s="32" t="str">
        <f t="shared" si="2"/>
        <v>39</v>
      </c>
      <c r="C76" s="33">
        <v>71831</v>
      </c>
      <c r="D76" s="33">
        <v>257644</v>
      </c>
      <c r="E76" s="35">
        <v>0.27879942866901603</v>
      </c>
      <c r="F76" s="34">
        <f>VLOOKUP(Tableau1[[#This Row],[Code département]],'Source 2'!A:C, 3, FALSE)</f>
        <v>26090</v>
      </c>
    </row>
    <row r="77" spans="1:6" ht="14.25" customHeight="1" x14ac:dyDescent="0.2">
      <c r="A77" s="31" t="s">
        <v>27</v>
      </c>
      <c r="B77" s="32" t="str">
        <f t="shared" si="2"/>
        <v>29</v>
      </c>
      <c r="C77" s="33">
        <v>280598</v>
      </c>
      <c r="D77" s="33">
        <v>933628</v>
      </c>
      <c r="E77" s="35">
        <v>0.30054582767440602</v>
      </c>
      <c r="F77" s="34">
        <f>VLOOKUP(Tableau1[[#This Row],[Code département]],'Source 2'!A:C, 3, FALSE)</f>
        <v>26210</v>
      </c>
    </row>
    <row r="78" spans="1:6" ht="14.25" customHeight="1" x14ac:dyDescent="0.2">
      <c r="A78" s="31" t="s">
        <v>56</v>
      </c>
      <c r="B78" s="32" t="str">
        <f t="shared" si="2"/>
        <v>56</v>
      </c>
      <c r="C78" s="33">
        <v>252888</v>
      </c>
      <c r="D78" s="33">
        <v>785243</v>
      </c>
      <c r="E78" s="35">
        <v>0.32205062636661502</v>
      </c>
      <c r="F78" s="34">
        <f>VLOOKUP(Tableau1[[#This Row],[Code département]],'Source 2'!A:C, 3, FALSE)</f>
        <v>26250</v>
      </c>
    </row>
    <row r="79" spans="1:6" ht="14.25" customHeight="1" x14ac:dyDescent="0.2">
      <c r="A79" s="31" t="s">
        <v>64</v>
      </c>
      <c r="B79" s="32" t="str">
        <f t="shared" si="2"/>
        <v>64</v>
      </c>
      <c r="C79" s="33">
        <v>219731</v>
      </c>
      <c r="D79" s="33">
        <v>708825</v>
      </c>
      <c r="E79" s="35">
        <v>0.30999329876908999</v>
      </c>
      <c r="F79" s="34">
        <f>VLOOKUP(Tableau1[[#This Row],[Code département]],'Source 2'!A:C, 3, FALSE)</f>
        <v>26300</v>
      </c>
    </row>
    <row r="80" spans="1:6" ht="14.25" customHeight="1" x14ac:dyDescent="0.2">
      <c r="A80" s="31" t="s">
        <v>5</v>
      </c>
      <c r="B80" s="32" t="str">
        <f t="shared" si="2"/>
        <v>06</v>
      </c>
      <c r="C80" s="33">
        <v>266986</v>
      </c>
      <c r="D80" s="33">
        <v>1124992</v>
      </c>
      <c r="E80" s="35">
        <v>0.2373225765161</v>
      </c>
      <c r="F80" s="34">
        <f>VLOOKUP(Tableau1[[#This Row],[Code département]],'Source 2'!A:C, 3, FALSE)</f>
        <v>26380</v>
      </c>
    </row>
    <row r="81" spans="1:6" ht="14.25" customHeight="1" x14ac:dyDescent="0.2">
      <c r="A81" s="31" t="s">
        <v>19</v>
      </c>
      <c r="B81" s="32" t="str">
        <f t="shared" si="2"/>
        <v>21</v>
      </c>
      <c r="C81" s="33">
        <v>124209</v>
      </c>
      <c r="D81" s="33">
        <v>538508</v>
      </c>
      <c r="E81" s="35">
        <v>0.23065395500159699</v>
      </c>
      <c r="F81" s="34">
        <f>VLOOKUP(Tableau1[[#This Row],[Code département]],'Source 2'!A:C, 3, FALSE)</f>
        <v>26560</v>
      </c>
    </row>
    <row r="82" spans="1:6" ht="14.25" customHeight="1" x14ac:dyDescent="0.2">
      <c r="A82" s="31" t="s">
        <v>35</v>
      </c>
      <c r="B82" s="32" t="str">
        <f t="shared" si="2"/>
        <v>35</v>
      </c>
      <c r="C82" s="33">
        <v>358182</v>
      </c>
      <c r="D82" s="33">
        <v>1126416</v>
      </c>
      <c r="E82" s="35">
        <v>0.31798376443516402</v>
      </c>
      <c r="F82" s="34">
        <f>VLOOKUP(Tableau1[[#This Row],[Code département]],'Source 2'!A:C, 3, FALSE)</f>
        <v>26670</v>
      </c>
    </row>
    <row r="83" spans="1:6" ht="14.25" customHeight="1" x14ac:dyDescent="0.2">
      <c r="A83" s="31" t="s">
        <v>33</v>
      </c>
      <c r="B83" s="32" t="str">
        <f t="shared" si="2"/>
        <v>33</v>
      </c>
      <c r="C83" s="33">
        <v>441801</v>
      </c>
      <c r="D83" s="33">
        <v>1704597</v>
      </c>
      <c r="E83" s="35">
        <v>0.25918208233383</v>
      </c>
      <c r="F83" s="34">
        <f>VLOOKUP(Tableau1[[#This Row],[Code département]],'Source 2'!A:C, 3, FALSE)</f>
        <v>26820</v>
      </c>
    </row>
    <row r="84" spans="1:6" ht="14.25" customHeight="1" x14ac:dyDescent="0.2">
      <c r="A84" s="31" t="s">
        <v>67</v>
      </c>
      <c r="B84" s="32" t="str">
        <f t="shared" si="2"/>
        <v>67</v>
      </c>
      <c r="C84" s="33">
        <v>287564</v>
      </c>
      <c r="D84" s="33">
        <v>1164797</v>
      </c>
      <c r="E84" s="35">
        <v>0.24687906991518699</v>
      </c>
      <c r="F84" s="34">
        <f>VLOOKUP(Tableau1[[#This Row],[Code département]],'Source 2'!A:C, 3, FALSE)</f>
        <v>26890</v>
      </c>
    </row>
    <row r="85" spans="1:6" ht="14.25" customHeight="1" x14ac:dyDescent="0.2">
      <c r="A85" s="31" t="s">
        <v>31</v>
      </c>
      <c r="B85" s="32" t="str">
        <f t="shared" si="2"/>
        <v>31</v>
      </c>
      <c r="C85" s="33">
        <v>391063</v>
      </c>
      <c r="D85" s="33">
        <v>1489751</v>
      </c>
      <c r="E85" s="35">
        <v>0.26250225708860098</v>
      </c>
      <c r="F85" s="34">
        <f>VLOOKUP(Tableau1[[#This Row],[Code département]],'Source 2'!A:C, 3, FALSE)</f>
        <v>27040</v>
      </c>
    </row>
    <row r="86" spans="1:6" ht="14.25" customHeight="1" x14ac:dyDescent="0.2">
      <c r="A86" s="31" t="s">
        <v>44</v>
      </c>
      <c r="B86" s="32" t="str">
        <f t="shared" si="2"/>
        <v>44</v>
      </c>
      <c r="C86" s="33">
        <v>471523</v>
      </c>
      <c r="D86" s="33">
        <v>1498959</v>
      </c>
      <c r="E86" s="35">
        <v>0.31456697614811302</v>
      </c>
      <c r="F86" s="34">
        <f>VLOOKUP(Tableau1[[#This Row],[Code département]],'Source 2'!A:C, 3, FALSE)</f>
        <v>27150</v>
      </c>
    </row>
    <row r="87" spans="1:6" ht="14.25" customHeight="1" x14ac:dyDescent="0.2">
      <c r="A87" s="31" t="s">
        <v>23</v>
      </c>
      <c r="B87" s="32" t="str">
        <f t="shared" si="2"/>
        <v>25</v>
      </c>
      <c r="C87" s="33">
        <v>137474</v>
      </c>
      <c r="D87" s="33">
        <v>550255</v>
      </c>
      <c r="E87" s="35">
        <v>0.24983689380378199</v>
      </c>
      <c r="F87" s="34">
        <f>VLOOKUP(Tableau1[[#This Row],[Code département]],'Source 2'!A:C, 3, FALSE)</f>
        <v>27190</v>
      </c>
    </row>
    <row r="88" spans="1:6" ht="14.25" customHeight="1" x14ac:dyDescent="0.2">
      <c r="A88" s="31" t="s">
        <v>94</v>
      </c>
      <c r="B88" s="32" t="str">
        <f t="shared" si="2"/>
        <v>94</v>
      </c>
      <c r="C88" s="33">
        <v>283312</v>
      </c>
      <c r="D88" s="33">
        <v>1424361</v>
      </c>
      <c r="E88" s="35">
        <v>0.19890463162077601</v>
      </c>
      <c r="F88" s="34">
        <f>VLOOKUP(Tableau1[[#This Row],[Code département]],'Source 2'!A:C, 3, FALSE)</f>
        <v>27250</v>
      </c>
    </row>
    <row r="89" spans="1:6" ht="14.25" customHeight="1" x14ac:dyDescent="0.2">
      <c r="A89" s="31" t="s">
        <v>38</v>
      </c>
      <c r="B89" s="32" t="str">
        <f t="shared" si="2"/>
        <v>38</v>
      </c>
      <c r="C89" s="33">
        <v>369673</v>
      </c>
      <c r="D89" s="33">
        <v>1302971</v>
      </c>
      <c r="E89" s="35">
        <v>0.283715447235587</v>
      </c>
      <c r="F89" s="34">
        <f>VLOOKUP(Tableau1[[#This Row],[Code département]],'Source 2'!A:C, 3, FALSE)</f>
        <v>27290</v>
      </c>
    </row>
    <row r="90" spans="1:6" ht="14.25" customHeight="1" x14ac:dyDescent="0.2">
      <c r="A90" s="31" t="s">
        <v>77</v>
      </c>
      <c r="B90" s="32" t="str">
        <f t="shared" si="2"/>
        <v>77</v>
      </c>
      <c r="C90" s="33">
        <v>321990</v>
      </c>
      <c r="D90" s="33">
        <v>1470763</v>
      </c>
      <c r="E90" s="35">
        <v>0.218927182693609</v>
      </c>
      <c r="F90" s="34">
        <f>VLOOKUP(Tableau1[[#This Row],[Code département]],'Source 2'!A:C, 3, FALSE)</f>
        <v>27480</v>
      </c>
    </row>
    <row r="91" spans="1:6" ht="14.25" customHeight="1" x14ac:dyDescent="0.2">
      <c r="A91" s="31" t="s">
        <v>69</v>
      </c>
      <c r="B91" s="32" t="str">
        <f t="shared" si="2"/>
        <v>69</v>
      </c>
      <c r="C91" s="33">
        <v>489961</v>
      </c>
      <c r="D91" s="33">
        <v>1924716</v>
      </c>
      <c r="E91" s="35">
        <v>0.25456275107600301</v>
      </c>
      <c r="F91" s="34">
        <f>VLOOKUP(Tableau1[[#This Row],[Code département]],'Source 2'!A:C, 3, FALSE)</f>
        <v>27500</v>
      </c>
    </row>
    <row r="92" spans="1:6" ht="14.25" customHeight="1" x14ac:dyDescent="0.2">
      <c r="A92" s="31" t="s">
        <v>68</v>
      </c>
      <c r="B92" s="32" t="str">
        <f t="shared" si="2"/>
        <v>68</v>
      </c>
      <c r="C92" s="33">
        <v>181848</v>
      </c>
      <c r="D92" s="33">
        <v>766549</v>
      </c>
      <c r="E92" s="35">
        <v>0.23722945304214099</v>
      </c>
      <c r="F92" s="34">
        <f>VLOOKUP(Tableau1[[#This Row],[Code département]],'Source 2'!A:C, 3, FALSE)</f>
        <v>27620</v>
      </c>
    </row>
    <row r="93" spans="1:6" ht="14.25" customHeight="1" x14ac:dyDescent="0.2">
      <c r="A93" s="31" t="s">
        <v>73</v>
      </c>
      <c r="B93" s="32" t="str">
        <f t="shared" si="2"/>
        <v>73</v>
      </c>
      <c r="C93" s="33">
        <v>139217</v>
      </c>
      <c r="D93" s="33">
        <v>450451</v>
      </c>
      <c r="E93" s="35">
        <v>0.30906136294513697</v>
      </c>
      <c r="F93" s="34">
        <f>VLOOKUP(Tableau1[[#This Row],[Code département]],'Source 2'!A:C, 3, FALSE)</f>
        <v>27910</v>
      </c>
    </row>
    <row r="94" spans="1:6" ht="14.25" customHeight="1" x14ac:dyDescent="0.2">
      <c r="A94" s="31" t="s">
        <v>91</v>
      </c>
      <c r="B94" s="32" t="str">
        <f t="shared" si="2"/>
        <v>91</v>
      </c>
      <c r="C94" s="33">
        <v>344015</v>
      </c>
      <c r="D94" s="33">
        <v>1337492</v>
      </c>
      <c r="E94" s="35">
        <v>0.25720901508195898</v>
      </c>
      <c r="F94" s="34">
        <f>VLOOKUP(Tableau1[[#This Row],[Code département]],'Source 2'!A:C, 3, FALSE)</f>
        <v>27940</v>
      </c>
    </row>
    <row r="95" spans="1:6" ht="14.25" customHeight="1" x14ac:dyDescent="0.2">
      <c r="A95" s="31" t="s">
        <v>0</v>
      </c>
      <c r="B95" s="32" t="str">
        <f t="shared" si="2"/>
        <v>01</v>
      </c>
      <c r="C95" s="33">
        <v>180984</v>
      </c>
      <c r="D95" s="33">
        <v>683034</v>
      </c>
      <c r="E95" s="35">
        <v>0.26497070424019897</v>
      </c>
      <c r="F95" s="34">
        <f>VLOOKUP(Tableau1[[#This Row],[Code département]],'Source 2'!A:C, 3, FALSE)</f>
        <v>27990</v>
      </c>
    </row>
    <row r="96" spans="1:6" ht="14.25" customHeight="1" x14ac:dyDescent="0.2">
      <c r="A96" s="31" t="s">
        <v>78</v>
      </c>
      <c r="B96" s="32" t="str">
        <f t="shared" si="2"/>
        <v>78</v>
      </c>
      <c r="C96" s="33">
        <v>425500</v>
      </c>
      <c r="D96" s="33">
        <v>1483576</v>
      </c>
      <c r="E96" s="35">
        <v>0.28680701224608601</v>
      </c>
      <c r="F96" s="34">
        <f>VLOOKUP(Tableau1[[#This Row],[Code département]],'Source 2'!A:C, 3, FALSE)</f>
        <v>31520</v>
      </c>
    </row>
    <row r="97" spans="1:6" ht="14.25" customHeight="1" x14ac:dyDescent="0.2">
      <c r="A97" s="31" t="s">
        <v>74</v>
      </c>
      <c r="B97" s="32" t="str">
        <f t="shared" si="2"/>
        <v>74</v>
      </c>
      <c r="C97" s="33">
        <v>266378</v>
      </c>
      <c r="D97" s="33">
        <v>863640</v>
      </c>
      <c r="E97" s="35">
        <v>0.30843638553100799</v>
      </c>
      <c r="F97" s="34">
        <f>VLOOKUP(Tableau1[[#This Row],[Code département]],'Source 2'!A:C, 3, FALSE)</f>
        <v>32180</v>
      </c>
    </row>
    <row r="98" spans="1:6" ht="14.25" customHeight="1" x14ac:dyDescent="0.2">
      <c r="A98" s="31" t="s">
        <v>75</v>
      </c>
      <c r="B98" s="32" t="str">
        <f t="shared" si="2"/>
        <v>75</v>
      </c>
      <c r="C98" s="33">
        <v>355717</v>
      </c>
      <c r="D98" s="33">
        <v>2070806</v>
      </c>
      <c r="E98" s="35">
        <v>0.171777076172273</v>
      </c>
      <c r="F98" s="34">
        <f>VLOOKUP(Tableau1[[#This Row],[Code département]],'Source 2'!A:C, 3, FALSE)</f>
        <v>33650</v>
      </c>
    </row>
    <row r="99" spans="1:6" ht="14.25" customHeight="1" x14ac:dyDescent="0.2">
      <c r="A99" s="31" t="s">
        <v>92</v>
      </c>
      <c r="B99" s="32" t="str">
        <f t="shared" ref="B99:B130" si="3">TRIM(LEFT(A99,3))</f>
        <v>92</v>
      </c>
      <c r="C99" s="33">
        <v>382914</v>
      </c>
      <c r="D99" s="33">
        <v>1658614</v>
      </c>
      <c r="E99" s="35">
        <v>0.23086384173773999</v>
      </c>
      <c r="F99" s="34">
        <f>VLOOKUP(Tableau1[[#This Row],[Code département]],'Source 2'!A:C, 3, FALSE)</f>
        <v>33790</v>
      </c>
    </row>
    <row r="100" spans="1:6" ht="14.25" customHeight="1" x14ac:dyDescent="0.2">
      <c r="A100" s="31" t="s">
        <v>103</v>
      </c>
      <c r="B100" s="32"/>
      <c r="C100" s="33">
        <v>17012838</v>
      </c>
      <c r="D100" s="33">
        <v>68436616</v>
      </c>
      <c r="E100" s="35">
        <v>0.248592624743456</v>
      </c>
      <c r="F100" s="34" t="str">
        <f>IFERROR(VLOOKUP(#REF!,[2]RevenuMedian!A:C,3,FALSE),"")</f>
        <v/>
      </c>
    </row>
    <row r="101" spans="1:6" ht="14.25" customHeight="1" x14ac:dyDescent="0.2">
      <c r="A101" s="31" t="s">
        <v>97</v>
      </c>
      <c r="B101" s="32" t="str">
        <f>TRIM(LEFT(A101,3))</f>
        <v>971</v>
      </c>
      <c r="C101" s="33">
        <v>75878</v>
      </c>
      <c r="D101" s="33">
        <v>381909</v>
      </c>
      <c r="E101" s="35">
        <v>0.198680837581728</v>
      </c>
      <c r="F101" s="34" t="str">
        <f>IFERROR(VLOOKUP(Tableau1[[#This Row],[Code département]],'Source 2'!A:C, 3, FALSE)," ")</f>
        <v xml:space="preserve"> </v>
      </c>
    </row>
    <row r="102" spans="1:6" ht="14.25" customHeight="1" x14ac:dyDescent="0.2">
      <c r="A102" s="31" t="s">
        <v>98</v>
      </c>
      <c r="B102" s="32" t="str">
        <f>TRIM(LEFT(A102,3))</f>
        <v>972</v>
      </c>
      <c r="C102" s="33">
        <v>67647</v>
      </c>
      <c r="D102" s="33">
        <v>357590</v>
      </c>
      <c r="E102" s="35">
        <v>0.189174753208982</v>
      </c>
      <c r="F102" s="34" t="str">
        <f>IFERROR(VLOOKUP(Tableau1[[#This Row],[Code département]],'Source 2'!A:C, 3, FALSE)," ")</f>
        <v xml:space="preserve"> </v>
      </c>
    </row>
    <row r="103" spans="1:6" ht="14.25" customHeight="1" x14ac:dyDescent="0.2">
      <c r="A103" s="31" t="s">
        <v>99</v>
      </c>
      <c r="B103" s="32" t="str">
        <f>TRIM(LEFT(A103,3))</f>
        <v>973</v>
      </c>
      <c r="C103" s="33">
        <v>47176</v>
      </c>
      <c r="D103" s="33">
        <v>291774</v>
      </c>
      <c r="E103" s="35">
        <v>0.16168678497741401</v>
      </c>
      <c r="F103" s="34" t="str">
        <f>IFERROR(VLOOKUP(Tableau1[[#This Row],[Code département]],'Source 2'!A:C, 3, FALSE)," ")</f>
        <v xml:space="preserve"> </v>
      </c>
    </row>
    <row r="104" spans="1:6" ht="14.25" customHeight="1" x14ac:dyDescent="0.2">
      <c r="A104" s="31" t="s">
        <v>101</v>
      </c>
      <c r="B104" s="32" t="str">
        <f>TRIM(LEFT(A104,3))</f>
        <v>976</v>
      </c>
      <c r="C104" s="33">
        <v>44143</v>
      </c>
      <c r="D104" s="33">
        <v>320282</v>
      </c>
      <c r="E104" s="35">
        <v>0.13782541635184001</v>
      </c>
      <c r="F104" s="34" t="str">
        <f>IFERROR(VLOOKUP(Tableau1[[#This Row],[Code département]],'Source 2'!A:C, 3, FALSE)," ")</f>
        <v xml:space="preserve"> </v>
      </c>
    </row>
    <row r="105" spans="1:6" ht="14.25" customHeight="1" x14ac:dyDescent="0.2">
      <c r="A105" s="31" t="s">
        <v>102</v>
      </c>
      <c r="B105" s="32"/>
      <c r="C105" s="33">
        <v>408681</v>
      </c>
      <c r="D105" s="33">
        <v>2243657</v>
      </c>
      <c r="E105" s="35">
        <v>0.182149499678427</v>
      </c>
      <c r="F105" s="34" t="str">
        <f>IFERROR(VLOOKUP(Tableau1[[#This Row],[Code département]],'Source 2'!A:C, 3, FALSE)," ")</f>
        <v xml:space="preserve"> </v>
      </c>
    </row>
    <row r="106" spans="1:6" ht="14.25" customHeight="1" x14ac:dyDescent="0.2">
      <c r="A106" s="31" t="s">
        <v>96</v>
      </c>
      <c r="B106" s="32" t="str">
        <f>TRIM(LEFT(A106,3))</f>
        <v>Tot</v>
      </c>
      <c r="C106" s="33">
        <v>16604157</v>
      </c>
      <c r="D106" s="33">
        <v>66192959</v>
      </c>
      <c r="E106" s="35">
        <v>0.25084476129855399</v>
      </c>
      <c r="F106" s="34" t="str">
        <f>IFERROR(VLOOKUP(Tableau1[[#This Row],[Code département]],'Source 2'!A:C, 3, FALSE)," ")</f>
        <v xml:space="preserve"> </v>
      </c>
    </row>
    <row r="107" spans="1:6" x14ac:dyDescent="0.2">
      <c r="A107" s="27" t="s">
        <v>568</v>
      </c>
    </row>
    <row r="108" spans="1:6" x14ac:dyDescent="0.2">
      <c r="A108" s="55" t="s">
        <v>575</v>
      </c>
      <c r="B108" s="55"/>
      <c r="C108" s="55"/>
      <c r="D108" s="55"/>
      <c r="E108" s="55"/>
      <c r="F108" s="55"/>
    </row>
    <row r="109" spans="1:6" x14ac:dyDescent="0.2">
      <c r="A109" s="29"/>
      <c r="B109" s="30"/>
      <c r="C109" s="30"/>
      <c r="D109" s="30"/>
      <c r="E109" s="30"/>
      <c r="F109" s="30"/>
    </row>
    <row r="110" spans="1:6" x14ac:dyDescent="0.2">
      <c r="A110" s="30"/>
      <c r="B110" s="30"/>
      <c r="C110" s="30"/>
      <c r="D110" s="30"/>
      <c r="E110" s="30"/>
      <c r="F110" s="30"/>
    </row>
  </sheetData>
  <mergeCells count="4">
    <mergeCell ref="I23:L23"/>
    <mergeCell ref="J28:L28"/>
    <mergeCell ref="A108:F108"/>
    <mergeCell ref="G54:K59"/>
  </mergeCells>
  <phoneticPr fontId="13" type="noConversion"/>
  <pageMargins left="0.25" right="0.25" top="0.75" bottom="0.75" header="0.3" footer="0.3"/>
  <pageSetup paperSize="9"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EA99D-9EC4-804A-8CAE-7F4C250224D2}">
  <dimension ref="A1:C104"/>
  <sheetViews>
    <sheetView tabSelected="1" workbookViewId="0">
      <pane ySplit="4" topLeftCell="A67" activePane="bottomLeft" state="frozen"/>
      <selection pane="bottomLeft" activeCell="A4" sqref="A4"/>
    </sheetView>
  </sheetViews>
  <sheetFormatPr baseColWidth="10" defaultColWidth="8.83203125" defaultRowHeight="13" x14ac:dyDescent="0.15"/>
  <cols>
    <col min="1" max="1" width="20.6640625" style="1" bestFit="1" customWidth="1"/>
    <col min="2" max="2" width="40.6640625" style="1" bestFit="1" customWidth="1"/>
    <col min="3" max="3" width="27.1640625" style="1" customWidth="1"/>
    <col min="4" max="16384" width="8.83203125" style="1"/>
  </cols>
  <sheetData>
    <row r="1" spans="1:3" x14ac:dyDescent="0.15">
      <c r="A1" s="59" t="s">
        <v>221</v>
      </c>
      <c r="B1" s="59"/>
    </row>
    <row r="3" spans="1:3" x14ac:dyDescent="0.15">
      <c r="A3" s="3" t="s">
        <v>222</v>
      </c>
    </row>
    <row r="4" spans="1:3" ht="14" x14ac:dyDescent="0.15">
      <c r="A4" s="24" t="s">
        <v>219</v>
      </c>
      <c r="B4" s="23" t="s">
        <v>223</v>
      </c>
      <c r="C4" s="23" t="s">
        <v>224</v>
      </c>
    </row>
    <row r="5" spans="1:3" x14ac:dyDescent="0.15">
      <c r="A5" s="25" t="s">
        <v>225</v>
      </c>
      <c r="B5" s="3" t="s">
        <v>123</v>
      </c>
      <c r="C5" s="2">
        <v>27990</v>
      </c>
    </row>
    <row r="6" spans="1:3" x14ac:dyDescent="0.15">
      <c r="A6" s="25" t="s">
        <v>226</v>
      </c>
      <c r="B6" s="3" t="s">
        <v>124</v>
      </c>
      <c r="C6" s="2">
        <v>23360</v>
      </c>
    </row>
    <row r="7" spans="1:3" x14ac:dyDescent="0.15">
      <c r="A7" s="25" t="s">
        <v>227</v>
      </c>
      <c r="B7" s="3" t="s">
        <v>125</v>
      </c>
      <c r="C7" s="2">
        <v>24430</v>
      </c>
    </row>
    <row r="8" spans="1:3" x14ac:dyDescent="0.15">
      <c r="A8" s="25" t="s">
        <v>228</v>
      </c>
      <c r="B8" s="3" t="s">
        <v>126</v>
      </c>
      <c r="C8" s="2">
        <v>24240</v>
      </c>
    </row>
    <row r="9" spans="1:3" x14ac:dyDescent="0.15">
      <c r="A9" s="25" t="s">
        <v>229</v>
      </c>
      <c r="B9" s="3" t="s">
        <v>127</v>
      </c>
      <c r="C9" s="2">
        <v>25060</v>
      </c>
    </row>
    <row r="10" spans="1:3" x14ac:dyDescent="0.15">
      <c r="A10" s="25" t="s">
        <v>230</v>
      </c>
      <c r="B10" s="3" t="s">
        <v>128</v>
      </c>
      <c r="C10" s="2">
        <v>26380</v>
      </c>
    </row>
    <row r="11" spans="1:3" x14ac:dyDescent="0.15">
      <c r="A11" s="25" t="s">
        <v>231</v>
      </c>
      <c r="B11" s="3" t="s">
        <v>129</v>
      </c>
      <c r="C11" s="2">
        <v>24820</v>
      </c>
    </row>
    <row r="12" spans="1:3" x14ac:dyDescent="0.15">
      <c r="A12" s="25" t="s">
        <v>232</v>
      </c>
      <c r="B12" s="3" t="s">
        <v>130</v>
      </c>
      <c r="C12" s="2">
        <v>23500</v>
      </c>
    </row>
    <row r="13" spans="1:3" x14ac:dyDescent="0.15">
      <c r="A13" s="25" t="s">
        <v>233</v>
      </c>
      <c r="B13" s="3" t="s">
        <v>131</v>
      </c>
      <c r="C13" s="2">
        <v>23360</v>
      </c>
    </row>
    <row r="14" spans="1:3" x14ac:dyDescent="0.15">
      <c r="A14" s="25" t="s">
        <v>234</v>
      </c>
      <c r="B14" s="3" t="s">
        <v>132</v>
      </c>
      <c r="C14" s="2">
        <v>24130</v>
      </c>
    </row>
    <row r="15" spans="1:3" x14ac:dyDescent="0.15">
      <c r="A15" s="25" t="s">
        <v>235</v>
      </c>
      <c r="B15" s="3" t="s">
        <v>133</v>
      </c>
      <c r="C15" s="2">
        <v>23060</v>
      </c>
    </row>
    <row r="16" spans="1:3" x14ac:dyDescent="0.15">
      <c r="A16" s="25" t="s">
        <v>236</v>
      </c>
      <c r="B16" s="3" t="s">
        <v>134</v>
      </c>
      <c r="C16" s="2">
        <v>24780</v>
      </c>
    </row>
    <row r="17" spans="1:3" x14ac:dyDescent="0.15">
      <c r="A17" s="25" t="s">
        <v>237</v>
      </c>
      <c r="B17" s="3" t="s">
        <v>135</v>
      </c>
      <c r="C17" s="2">
        <v>25610</v>
      </c>
    </row>
    <row r="18" spans="1:3" x14ac:dyDescent="0.15">
      <c r="A18" s="25" t="s">
        <v>238</v>
      </c>
      <c r="B18" s="3" t="s">
        <v>136</v>
      </c>
      <c r="C18" s="2">
        <v>25600</v>
      </c>
    </row>
    <row r="19" spans="1:3" x14ac:dyDescent="0.15">
      <c r="A19" s="25" t="s">
        <v>239</v>
      </c>
      <c r="B19" s="3" t="s">
        <v>137</v>
      </c>
      <c r="C19" s="2">
        <v>24820</v>
      </c>
    </row>
    <row r="20" spans="1:3" x14ac:dyDescent="0.15">
      <c r="A20" s="25" t="s">
        <v>240</v>
      </c>
      <c r="B20" s="3" t="s">
        <v>138</v>
      </c>
      <c r="C20" s="2">
        <v>24850</v>
      </c>
    </row>
    <row r="21" spans="1:3" x14ac:dyDescent="0.15">
      <c r="A21" s="25" t="s">
        <v>241</v>
      </c>
      <c r="B21" s="3" t="s">
        <v>139</v>
      </c>
      <c r="C21" s="2">
        <v>25710</v>
      </c>
    </row>
    <row r="22" spans="1:3" x14ac:dyDescent="0.15">
      <c r="A22" s="25" t="s">
        <v>242</v>
      </c>
      <c r="B22" s="3" t="s">
        <v>140</v>
      </c>
      <c r="C22" s="2">
        <v>24730</v>
      </c>
    </row>
    <row r="23" spans="1:3" x14ac:dyDescent="0.15">
      <c r="A23" s="25" t="s">
        <v>243</v>
      </c>
      <c r="B23" s="3" t="s">
        <v>141</v>
      </c>
      <c r="C23" s="2">
        <v>24910</v>
      </c>
    </row>
    <row r="24" spans="1:3" x14ac:dyDescent="0.15">
      <c r="A24" s="25" t="s">
        <v>121</v>
      </c>
      <c r="B24" s="3" t="s">
        <v>151</v>
      </c>
      <c r="C24" s="2">
        <v>26050</v>
      </c>
    </row>
    <row r="25" spans="1:3" x14ac:dyDescent="0.15">
      <c r="A25" s="25" t="s">
        <v>122</v>
      </c>
      <c r="B25" s="3" t="s">
        <v>152</v>
      </c>
      <c r="C25" s="2">
        <v>24200</v>
      </c>
    </row>
    <row r="26" spans="1:3" x14ac:dyDescent="0.15">
      <c r="A26" s="25" t="s">
        <v>244</v>
      </c>
      <c r="B26" s="3" t="s">
        <v>142</v>
      </c>
      <c r="C26" s="2">
        <v>26560</v>
      </c>
    </row>
    <row r="27" spans="1:3" x14ac:dyDescent="0.15">
      <c r="A27" s="25" t="s">
        <v>245</v>
      </c>
      <c r="B27" s="3" t="s">
        <v>143</v>
      </c>
      <c r="C27" s="2">
        <v>25590</v>
      </c>
    </row>
    <row r="28" spans="1:3" x14ac:dyDescent="0.15">
      <c r="A28" s="25" t="s">
        <v>246</v>
      </c>
      <c r="B28" s="3" t="s">
        <v>144</v>
      </c>
      <c r="C28" s="2">
        <v>23210</v>
      </c>
    </row>
    <row r="29" spans="1:3" x14ac:dyDescent="0.15">
      <c r="A29" s="25" t="s">
        <v>247</v>
      </c>
      <c r="B29" s="3" t="s">
        <v>145</v>
      </c>
      <c r="C29" s="2">
        <v>24150</v>
      </c>
    </row>
    <row r="30" spans="1:3" x14ac:dyDescent="0.15">
      <c r="A30" s="25" t="s">
        <v>248</v>
      </c>
      <c r="B30" s="3" t="s">
        <v>146</v>
      </c>
      <c r="C30" s="2">
        <v>27190</v>
      </c>
    </row>
    <row r="31" spans="1:3" x14ac:dyDescent="0.15">
      <c r="A31" s="25" t="s">
        <v>249</v>
      </c>
      <c r="B31" s="3" t="s">
        <v>147</v>
      </c>
      <c r="C31" s="2">
        <v>25210</v>
      </c>
    </row>
    <row r="32" spans="1:3" x14ac:dyDescent="0.15">
      <c r="A32" s="25" t="s">
        <v>250</v>
      </c>
      <c r="B32" s="3" t="s">
        <v>148</v>
      </c>
      <c r="C32" s="2">
        <v>25520</v>
      </c>
    </row>
    <row r="33" spans="1:3" x14ac:dyDescent="0.15">
      <c r="A33" s="25" t="s">
        <v>251</v>
      </c>
      <c r="B33" s="3" t="s">
        <v>149</v>
      </c>
      <c r="C33" s="2">
        <v>25980</v>
      </c>
    </row>
    <row r="34" spans="1:3" x14ac:dyDescent="0.15">
      <c r="A34" s="25" t="s">
        <v>252</v>
      </c>
      <c r="B34" s="3" t="s">
        <v>150</v>
      </c>
      <c r="C34" s="2">
        <v>26210</v>
      </c>
    </row>
    <row r="35" spans="1:3" x14ac:dyDescent="0.15">
      <c r="A35" s="25" t="s">
        <v>253</v>
      </c>
      <c r="B35" s="3" t="s">
        <v>153</v>
      </c>
      <c r="C35" s="2">
        <v>23930</v>
      </c>
    </row>
    <row r="36" spans="1:3" x14ac:dyDescent="0.15">
      <c r="A36" s="25" t="s">
        <v>254</v>
      </c>
      <c r="B36" s="3" t="s">
        <v>154</v>
      </c>
      <c r="C36" s="2">
        <v>27040</v>
      </c>
    </row>
    <row r="37" spans="1:3" x14ac:dyDescent="0.15">
      <c r="A37" s="25" t="s">
        <v>255</v>
      </c>
      <c r="B37" s="3" t="s">
        <v>155</v>
      </c>
      <c r="C37" s="2">
        <v>24770</v>
      </c>
    </row>
    <row r="38" spans="1:3" x14ac:dyDescent="0.15">
      <c r="A38" s="25" t="s">
        <v>256</v>
      </c>
      <c r="B38" s="3" t="s">
        <v>156</v>
      </c>
      <c r="C38" s="2">
        <v>26820</v>
      </c>
    </row>
    <row r="39" spans="1:3" x14ac:dyDescent="0.15">
      <c r="A39" s="25" t="s">
        <v>257</v>
      </c>
      <c r="B39" s="3" t="s">
        <v>157</v>
      </c>
      <c r="C39" s="2">
        <v>24280</v>
      </c>
    </row>
    <row r="40" spans="1:3" x14ac:dyDescent="0.15">
      <c r="A40" s="25" t="s">
        <v>258</v>
      </c>
      <c r="B40" s="3" t="s">
        <v>158</v>
      </c>
      <c r="C40" s="2">
        <v>26670</v>
      </c>
    </row>
    <row r="41" spans="1:3" x14ac:dyDescent="0.15">
      <c r="A41" s="25" t="s">
        <v>259</v>
      </c>
      <c r="B41" s="3" t="s">
        <v>159</v>
      </c>
      <c r="C41" s="2">
        <v>24020</v>
      </c>
    </row>
    <row r="42" spans="1:3" x14ac:dyDescent="0.15">
      <c r="A42" s="25" t="s">
        <v>260</v>
      </c>
      <c r="B42" s="3" t="s">
        <v>160</v>
      </c>
      <c r="C42" s="2">
        <v>25930</v>
      </c>
    </row>
    <row r="43" spans="1:3" x14ac:dyDescent="0.15">
      <c r="A43" s="25" t="s">
        <v>261</v>
      </c>
      <c r="B43" s="3" t="s">
        <v>161</v>
      </c>
      <c r="C43" s="2">
        <v>27290</v>
      </c>
    </row>
    <row r="44" spans="1:3" x14ac:dyDescent="0.15">
      <c r="A44" s="25" t="s">
        <v>262</v>
      </c>
      <c r="B44" s="3" t="s">
        <v>162</v>
      </c>
      <c r="C44" s="2">
        <v>26090</v>
      </c>
    </row>
    <row r="45" spans="1:3" x14ac:dyDescent="0.15">
      <c r="A45" s="25" t="s">
        <v>263</v>
      </c>
      <c r="B45" s="3" t="s">
        <v>163</v>
      </c>
      <c r="C45" s="2">
        <v>25650</v>
      </c>
    </row>
    <row r="46" spans="1:3" x14ac:dyDescent="0.15">
      <c r="A46" s="25" t="s">
        <v>264</v>
      </c>
      <c r="B46" s="3" t="s">
        <v>164</v>
      </c>
      <c r="C46" s="2">
        <v>25240</v>
      </c>
    </row>
    <row r="47" spans="1:3" x14ac:dyDescent="0.15">
      <c r="A47" s="25" t="s">
        <v>265</v>
      </c>
      <c r="B47" s="3" t="s">
        <v>165</v>
      </c>
      <c r="C47" s="2">
        <v>24800</v>
      </c>
    </row>
    <row r="48" spans="1:3" x14ac:dyDescent="0.15">
      <c r="A48" s="25" t="s">
        <v>266</v>
      </c>
      <c r="B48" s="3" t="s">
        <v>166</v>
      </c>
      <c r="C48" s="2">
        <v>25140</v>
      </c>
    </row>
    <row r="49" spans="1:3" x14ac:dyDescent="0.15">
      <c r="A49" s="25" t="s">
        <v>267</v>
      </c>
      <c r="B49" s="3" t="s">
        <v>167</v>
      </c>
      <c r="C49" s="2">
        <v>27150</v>
      </c>
    </row>
    <row r="50" spans="1:3" x14ac:dyDescent="0.15">
      <c r="A50" s="25" t="s">
        <v>268</v>
      </c>
      <c r="B50" s="3" t="s">
        <v>168</v>
      </c>
      <c r="C50" s="2">
        <v>25800</v>
      </c>
    </row>
    <row r="51" spans="1:3" x14ac:dyDescent="0.15">
      <c r="A51" s="25" t="s">
        <v>269</v>
      </c>
      <c r="B51" s="3" t="s">
        <v>169</v>
      </c>
      <c r="C51" s="2">
        <v>24740</v>
      </c>
    </row>
    <row r="52" spans="1:3" x14ac:dyDescent="0.15">
      <c r="A52" s="25" t="s">
        <v>270</v>
      </c>
      <c r="B52" s="3" t="s">
        <v>170</v>
      </c>
      <c r="C52" s="2">
        <v>23730</v>
      </c>
    </row>
    <row r="53" spans="1:3" x14ac:dyDescent="0.15">
      <c r="A53" s="25" t="s">
        <v>271</v>
      </c>
      <c r="B53" s="3" t="s">
        <v>171</v>
      </c>
      <c r="C53" s="2">
        <v>24270</v>
      </c>
    </row>
    <row r="54" spans="1:3" x14ac:dyDescent="0.15">
      <c r="A54" s="25" t="s">
        <v>272</v>
      </c>
      <c r="B54" s="3" t="s">
        <v>172</v>
      </c>
      <c r="C54" s="2">
        <v>25550</v>
      </c>
    </row>
    <row r="55" spans="1:3" x14ac:dyDescent="0.15">
      <c r="A55" s="25" t="s">
        <v>273</v>
      </c>
      <c r="B55" s="3" t="s">
        <v>173</v>
      </c>
      <c r="C55" s="2">
        <v>25430</v>
      </c>
    </row>
    <row r="56" spans="1:3" x14ac:dyDescent="0.15">
      <c r="A56" s="25" t="s">
        <v>274</v>
      </c>
      <c r="B56" s="3" t="s">
        <v>174</v>
      </c>
      <c r="C56" s="2">
        <v>25700</v>
      </c>
    </row>
    <row r="57" spans="1:3" x14ac:dyDescent="0.15">
      <c r="A57" s="25" t="s">
        <v>275</v>
      </c>
      <c r="B57" s="3" t="s">
        <v>175</v>
      </c>
      <c r="C57" s="2">
        <v>23980</v>
      </c>
    </row>
    <row r="58" spans="1:3" x14ac:dyDescent="0.15">
      <c r="A58" s="25" t="s">
        <v>276</v>
      </c>
      <c r="B58" s="3" t="s">
        <v>176</v>
      </c>
      <c r="C58" s="2">
        <v>25140</v>
      </c>
    </row>
    <row r="59" spans="1:3" x14ac:dyDescent="0.15">
      <c r="A59" s="25" t="s">
        <v>277</v>
      </c>
      <c r="B59" s="3" t="s">
        <v>177</v>
      </c>
      <c r="C59" s="2">
        <v>25910</v>
      </c>
    </row>
    <row r="60" spans="1:3" x14ac:dyDescent="0.15">
      <c r="A60" s="25" t="s">
        <v>278</v>
      </c>
      <c r="B60" s="3" t="s">
        <v>178</v>
      </c>
      <c r="C60" s="2">
        <v>24740</v>
      </c>
    </row>
    <row r="61" spans="1:3" x14ac:dyDescent="0.15">
      <c r="A61" s="25" t="s">
        <v>279</v>
      </c>
      <c r="B61" s="3" t="s">
        <v>179</v>
      </c>
      <c r="C61" s="2">
        <v>26250</v>
      </c>
    </row>
    <row r="62" spans="1:3" x14ac:dyDescent="0.15">
      <c r="A62" s="25" t="s">
        <v>280</v>
      </c>
      <c r="B62" s="3" t="s">
        <v>180</v>
      </c>
      <c r="C62" s="2">
        <v>26030</v>
      </c>
    </row>
    <row r="63" spans="1:3" x14ac:dyDescent="0.15">
      <c r="A63" s="25" t="s">
        <v>281</v>
      </c>
      <c r="B63" s="3" t="s">
        <v>181</v>
      </c>
      <c r="C63" s="2">
        <v>24010</v>
      </c>
    </row>
    <row r="64" spans="1:3" x14ac:dyDescent="0.15">
      <c r="A64" s="25" t="s">
        <v>282</v>
      </c>
      <c r="B64" s="3" t="s">
        <v>182</v>
      </c>
      <c r="C64" s="2">
        <v>23810</v>
      </c>
    </row>
    <row r="65" spans="1:3" x14ac:dyDescent="0.15">
      <c r="A65" s="25" t="s">
        <v>283</v>
      </c>
      <c r="B65" s="3" t="s">
        <v>183</v>
      </c>
      <c r="C65" s="2">
        <v>25970</v>
      </c>
    </row>
    <row r="66" spans="1:3" x14ac:dyDescent="0.15">
      <c r="A66" s="25" t="s">
        <v>284</v>
      </c>
      <c r="B66" s="3" t="s">
        <v>184</v>
      </c>
      <c r="C66" s="2">
        <v>24110</v>
      </c>
    </row>
    <row r="67" spans="1:3" x14ac:dyDescent="0.15">
      <c r="A67" s="25" t="s">
        <v>285</v>
      </c>
      <c r="B67" s="3" t="s">
        <v>185</v>
      </c>
      <c r="C67" s="2">
        <v>23260</v>
      </c>
    </row>
    <row r="68" spans="1:3" x14ac:dyDescent="0.15">
      <c r="A68" s="25" t="s">
        <v>286</v>
      </c>
      <c r="B68" s="3" t="s">
        <v>186</v>
      </c>
      <c r="C68" s="2">
        <v>26040</v>
      </c>
    </row>
    <row r="69" spans="1:3" x14ac:dyDescent="0.15">
      <c r="A69" s="25" t="s">
        <v>287</v>
      </c>
      <c r="B69" s="3" t="s">
        <v>187</v>
      </c>
      <c r="C69" s="2">
        <v>26300</v>
      </c>
    </row>
    <row r="70" spans="1:3" x14ac:dyDescent="0.15">
      <c r="A70" s="25" t="s">
        <v>288</v>
      </c>
      <c r="B70" s="3" t="s">
        <v>188</v>
      </c>
      <c r="C70" s="2">
        <v>24320</v>
      </c>
    </row>
    <row r="71" spans="1:3" x14ac:dyDescent="0.15">
      <c r="A71" s="25" t="s">
        <v>289</v>
      </c>
      <c r="B71" s="3" t="s">
        <v>189</v>
      </c>
      <c r="C71" s="2">
        <v>23080</v>
      </c>
    </row>
    <row r="72" spans="1:3" x14ac:dyDescent="0.15">
      <c r="A72" s="25" t="s">
        <v>290</v>
      </c>
      <c r="B72" s="3" t="s">
        <v>190</v>
      </c>
      <c r="C72" s="2">
        <v>26890</v>
      </c>
    </row>
    <row r="73" spans="1:3" x14ac:dyDescent="0.15">
      <c r="A73" s="25" t="s">
        <v>291</v>
      </c>
      <c r="B73" s="3" t="s">
        <v>191</v>
      </c>
      <c r="C73" s="2">
        <v>27620</v>
      </c>
    </row>
    <row r="74" spans="1:3" x14ac:dyDescent="0.15">
      <c r="A74" s="25" t="s">
        <v>292</v>
      </c>
      <c r="B74" s="3" t="s">
        <v>192</v>
      </c>
      <c r="C74" s="2">
        <v>27500</v>
      </c>
    </row>
    <row r="75" spans="1:3" x14ac:dyDescent="0.15">
      <c r="A75" s="25" t="s">
        <v>293</v>
      </c>
      <c r="B75" s="3" t="s">
        <v>193</v>
      </c>
      <c r="C75" s="2">
        <v>24750</v>
      </c>
    </row>
    <row r="76" spans="1:3" x14ac:dyDescent="0.15">
      <c r="A76" s="25" t="s">
        <v>294</v>
      </c>
      <c r="B76" s="3" t="s">
        <v>194</v>
      </c>
      <c r="C76" s="2">
        <v>24970</v>
      </c>
    </row>
    <row r="77" spans="1:3" x14ac:dyDescent="0.15">
      <c r="A77" s="25" t="s">
        <v>295</v>
      </c>
      <c r="B77" s="3" t="s">
        <v>195</v>
      </c>
      <c r="C77" s="2">
        <v>24990</v>
      </c>
    </row>
    <row r="78" spans="1:3" x14ac:dyDescent="0.15">
      <c r="A78" s="25" t="s">
        <v>296</v>
      </c>
      <c r="B78" s="3" t="s">
        <v>196</v>
      </c>
      <c r="C78" s="2">
        <v>27910</v>
      </c>
    </row>
    <row r="79" spans="1:3" x14ac:dyDescent="0.15">
      <c r="A79" s="25" t="s">
        <v>297</v>
      </c>
      <c r="B79" s="3" t="s">
        <v>197</v>
      </c>
      <c r="C79" s="2">
        <v>32180</v>
      </c>
    </row>
    <row r="80" spans="1:3" x14ac:dyDescent="0.15">
      <c r="A80" s="25" t="s">
        <v>298</v>
      </c>
      <c r="B80" s="3" t="s">
        <v>198</v>
      </c>
      <c r="C80" s="2">
        <v>33650</v>
      </c>
    </row>
    <row r="81" spans="1:3" x14ac:dyDescent="0.15">
      <c r="A81" s="25" t="s">
        <v>299</v>
      </c>
      <c r="B81" s="3" t="s">
        <v>199</v>
      </c>
      <c r="C81" s="2">
        <v>24940</v>
      </c>
    </row>
    <row r="82" spans="1:3" x14ac:dyDescent="0.15">
      <c r="A82" s="25" t="s">
        <v>300</v>
      </c>
      <c r="B82" s="3" t="s">
        <v>200</v>
      </c>
      <c r="C82" s="2">
        <v>27480</v>
      </c>
    </row>
    <row r="83" spans="1:3" x14ac:dyDescent="0.15">
      <c r="A83" s="25" t="s">
        <v>301</v>
      </c>
      <c r="B83" s="3" t="s">
        <v>201</v>
      </c>
      <c r="C83" s="2">
        <v>31520</v>
      </c>
    </row>
    <row r="84" spans="1:3" x14ac:dyDescent="0.15">
      <c r="A84" s="25" t="s">
        <v>302</v>
      </c>
      <c r="B84" s="3" t="s">
        <v>202</v>
      </c>
      <c r="C84" s="2">
        <v>25080</v>
      </c>
    </row>
    <row r="85" spans="1:3" x14ac:dyDescent="0.15">
      <c r="A85" s="25" t="s">
        <v>303</v>
      </c>
      <c r="B85" s="3" t="s">
        <v>203</v>
      </c>
      <c r="C85" s="2">
        <v>24200</v>
      </c>
    </row>
    <row r="86" spans="1:3" x14ac:dyDescent="0.15">
      <c r="A86" s="25" t="s">
        <v>304</v>
      </c>
      <c r="B86" s="3" t="s">
        <v>204</v>
      </c>
      <c r="C86" s="2">
        <v>24420</v>
      </c>
    </row>
    <row r="87" spans="1:3" x14ac:dyDescent="0.15">
      <c r="A87" s="25" t="s">
        <v>305</v>
      </c>
      <c r="B87" s="3" t="s">
        <v>205</v>
      </c>
      <c r="C87" s="2">
        <v>24350</v>
      </c>
    </row>
    <row r="88" spans="1:3" x14ac:dyDescent="0.15">
      <c r="A88" s="25" t="s">
        <v>306</v>
      </c>
      <c r="B88" s="3" t="s">
        <v>206</v>
      </c>
      <c r="C88" s="2">
        <v>25940</v>
      </c>
    </row>
    <row r="89" spans="1:3" x14ac:dyDescent="0.15">
      <c r="A89" s="25" t="s">
        <v>307</v>
      </c>
      <c r="B89" s="3" t="s">
        <v>207</v>
      </c>
      <c r="C89" s="2">
        <v>23840</v>
      </c>
    </row>
    <row r="90" spans="1:3" x14ac:dyDescent="0.15">
      <c r="A90" s="25" t="s">
        <v>308</v>
      </c>
      <c r="B90" s="3" t="s">
        <v>208</v>
      </c>
      <c r="C90" s="2">
        <v>25850</v>
      </c>
    </row>
    <row r="91" spans="1:3" x14ac:dyDescent="0.15">
      <c r="A91" s="25" t="s">
        <v>309</v>
      </c>
      <c r="B91" s="3" t="s">
        <v>209</v>
      </c>
      <c r="C91" s="2">
        <v>24940</v>
      </c>
    </row>
    <row r="92" spans="1:3" x14ac:dyDescent="0.15">
      <c r="A92" s="25" t="s">
        <v>310</v>
      </c>
      <c r="B92" s="3" t="s">
        <v>210</v>
      </c>
      <c r="C92" s="2">
        <v>24740</v>
      </c>
    </row>
    <row r="93" spans="1:3" x14ac:dyDescent="0.15">
      <c r="A93" s="25" t="s">
        <v>311</v>
      </c>
      <c r="B93" s="3" t="s">
        <v>211</v>
      </c>
      <c r="C93" s="2">
        <v>24320</v>
      </c>
    </row>
    <row r="94" spans="1:3" x14ac:dyDescent="0.15">
      <c r="A94" s="25" t="s">
        <v>312</v>
      </c>
      <c r="B94" s="3" t="s">
        <v>212</v>
      </c>
      <c r="C94" s="2">
        <v>24590</v>
      </c>
    </row>
    <row r="95" spans="1:3" x14ac:dyDescent="0.15">
      <c r="A95" s="25" t="s">
        <v>313</v>
      </c>
      <c r="B95" s="3" t="s">
        <v>213</v>
      </c>
      <c r="C95" s="2">
        <v>25910</v>
      </c>
    </row>
    <row r="96" spans="1:3" x14ac:dyDescent="0.15">
      <c r="A96" s="25" t="s">
        <v>314</v>
      </c>
      <c r="B96" s="3" t="s">
        <v>214</v>
      </c>
      <c r="C96" s="2">
        <v>27940</v>
      </c>
    </row>
    <row r="97" spans="1:3" x14ac:dyDescent="0.15">
      <c r="A97" s="25" t="s">
        <v>315</v>
      </c>
      <c r="B97" s="3" t="s">
        <v>215</v>
      </c>
      <c r="C97" s="2">
        <v>33790</v>
      </c>
    </row>
    <row r="98" spans="1:3" x14ac:dyDescent="0.15">
      <c r="A98" s="25" t="s">
        <v>316</v>
      </c>
      <c r="B98" s="3" t="s">
        <v>216</v>
      </c>
      <c r="C98" s="2">
        <v>21250</v>
      </c>
    </row>
    <row r="99" spans="1:3" x14ac:dyDescent="0.15">
      <c r="A99" s="25" t="s">
        <v>317</v>
      </c>
      <c r="B99" s="3" t="s">
        <v>217</v>
      </c>
      <c r="C99" s="2">
        <v>27250</v>
      </c>
    </row>
    <row r="100" spans="1:3" x14ac:dyDescent="0.15">
      <c r="A100" s="25" t="s">
        <v>318</v>
      </c>
      <c r="B100" s="3" t="s">
        <v>218</v>
      </c>
      <c r="C100" s="2">
        <v>25890</v>
      </c>
    </row>
    <row r="101" spans="1:3" x14ac:dyDescent="0.15">
      <c r="A101" s="25" t="s">
        <v>319</v>
      </c>
      <c r="B101" s="3" t="s">
        <v>320</v>
      </c>
      <c r="C101" s="2">
        <v>19110</v>
      </c>
    </row>
    <row r="102" spans="1:3" x14ac:dyDescent="0.15">
      <c r="A102" s="58" t="s">
        <v>321</v>
      </c>
      <c r="B102" s="58"/>
      <c r="C102" s="58"/>
    </row>
    <row r="103" spans="1:3" ht="35" customHeight="1" x14ac:dyDescent="0.15">
      <c r="A103" s="58" t="s">
        <v>322</v>
      </c>
      <c r="B103" s="58"/>
      <c r="C103" s="58"/>
    </row>
    <row r="104" spans="1:3" x14ac:dyDescent="0.15">
      <c r="A104" s="58" t="s">
        <v>323</v>
      </c>
      <c r="B104" s="58"/>
      <c r="C104" s="58"/>
    </row>
  </sheetData>
  <mergeCells count="4">
    <mergeCell ref="A102:C102"/>
    <mergeCell ref="A103:C103"/>
    <mergeCell ref="A104:C104"/>
    <mergeCell ref="A1:B1"/>
  </mergeCells>
  <phoneticPr fontId="13" type="noConversion"/>
  <printOptions gridLines="1" gridLinesSet="0"/>
  <pageMargins left="0.39325842696629199" right="0.39325842696629199" top="0.39325842696629199" bottom="0.19662921348314599" header="0.3" footer="0.3"/>
  <pageSetup paperSize="9" fitToWidth="0" fitToHeight="0" orientation="portrait" horizontalDpi="300" verticalDpi="300"/>
  <ignoredErrors>
    <ignoredError sqref="A5:C101" numberStoredAsText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42CF-594F-EA47-A589-9BDE520E4539}">
  <dimension ref="A1:AML135"/>
  <sheetViews>
    <sheetView zoomScale="80" workbookViewId="0">
      <pane xSplit="3" ySplit="4" topLeftCell="D5" activePane="bottomRight" state="frozen"/>
      <selection pane="topRight"/>
      <selection pane="bottomLeft"/>
      <selection pane="bottomRight" activeCell="A3" sqref="A3:Q3"/>
    </sheetView>
  </sheetViews>
  <sheetFormatPr baseColWidth="10" defaultRowHeight="15" x14ac:dyDescent="0.2"/>
  <cols>
    <col min="1" max="1" width="8" style="7" customWidth="1"/>
    <col min="2" max="2" width="5.6640625" style="7" customWidth="1"/>
    <col min="3" max="3" width="78.6640625" style="7" customWidth="1"/>
    <col min="4" max="6" width="11.6640625" style="7" customWidth="1"/>
    <col min="7" max="7" width="28.6640625" style="7" customWidth="1"/>
    <col min="8" max="8" width="17.6640625" style="7" customWidth="1"/>
    <col min="9" max="9" width="20.6640625" style="7" customWidth="1"/>
    <col min="10" max="11" width="13.6640625" style="7" customWidth="1"/>
    <col min="12" max="12" width="12.6640625" style="7" customWidth="1"/>
    <col min="13" max="14" width="11.6640625" style="7" customWidth="1"/>
    <col min="15" max="15" width="12.6640625" style="7" customWidth="1"/>
    <col min="16" max="16" width="22.6640625" style="7" customWidth="1"/>
    <col min="17" max="17" width="13.6640625" style="7" customWidth="1"/>
    <col min="18" max="18" width="11.6640625" style="7" customWidth="1"/>
    <col min="19" max="19" width="13.6640625" style="7" customWidth="1"/>
    <col min="20" max="20" width="22.6640625" style="7" customWidth="1"/>
    <col min="21" max="21" width="11.6640625" style="7" customWidth="1"/>
    <col min="22" max="22" width="13.6640625" style="7" customWidth="1"/>
    <col min="23" max="23" width="20.6640625" style="7" customWidth="1"/>
    <col min="24" max="24" width="24.6640625" style="7" customWidth="1"/>
    <col min="25" max="25" width="11.6640625" style="7" customWidth="1"/>
    <col min="26" max="26" width="13.6640625" style="7" customWidth="1"/>
    <col min="27" max="29" width="11.6640625" style="7" customWidth="1"/>
    <col min="30" max="30" width="17.6640625" style="7" customWidth="1"/>
    <col min="31" max="31" width="15.6640625" style="7" customWidth="1"/>
    <col min="32" max="32" width="17.6640625" style="7" customWidth="1"/>
    <col min="33" max="33" width="16.6640625" style="7" customWidth="1"/>
    <col min="34" max="34" width="11.6640625" style="7" customWidth="1"/>
    <col min="35" max="35" width="18.6640625" style="7" customWidth="1"/>
    <col min="36" max="36" width="11.6640625" style="7" customWidth="1"/>
    <col min="37" max="37" width="12.6640625" style="7" customWidth="1"/>
    <col min="38" max="38" width="13.6640625" style="7" customWidth="1"/>
    <col min="39" max="39" width="20.6640625" style="7" customWidth="1"/>
    <col min="40" max="40" width="11.6640625" style="7" customWidth="1"/>
    <col min="41" max="41" width="19.6640625" style="7" customWidth="1"/>
    <col min="42" max="44" width="11.6640625" style="7" customWidth="1"/>
    <col min="45" max="45" width="17.6640625" style="7" customWidth="1"/>
    <col min="46" max="46" width="11.6640625" style="7" customWidth="1"/>
    <col min="47" max="47" width="16.6640625" style="7" customWidth="1"/>
    <col min="48" max="48" width="21.6640625" style="7" customWidth="1"/>
    <col min="49" max="50" width="11.6640625" style="7" customWidth="1"/>
    <col min="51" max="51" width="19.6640625" style="7" customWidth="1"/>
    <col min="52" max="52" width="12.6640625" style="7" customWidth="1"/>
    <col min="53" max="53" width="19.6640625" style="7" customWidth="1"/>
    <col min="54" max="55" width="11.6640625" style="7" customWidth="1"/>
    <col min="56" max="56" width="16.6640625" style="7" customWidth="1"/>
    <col min="57" max="57" width="12.6640625" style="7" customWidth="1"/>
    <col min="58" max="58" width="23.6640625" style="7" customWidth="1"/>
    <col min="59" max="59" width="11.6640625" style="7" customWidth="1"/>
    <col min="60" max="60" width="13.6640625" style="7" customWidth="1"/>
    <col min="61" max="62" width="12.6640625" style="7" customWidth="1"/>
    <col min="63" max="65" width="11.6640625" style="7" customWidth="1"/>
    <col min="66" max="66" width="18.6640625" style="7" customWidth="1"/>
    <col min="67" max="67" width="17.6640625" style="7" customWidth="1"/>
    <col min="68" max="68" width="27.6640625" style="7" customWidth="1"/>
    <col min="69" max="69" width="22.6640625" style="7" customWidth="1"/>
    <col min="70" max="70" width="26.6640625" style="7" customWidth="1"/>
    <col min="71" max="71" width="13.6640625" style="7" customWidth="1"/>
    <col min="72" max="72" width="14.6640625" style="7" customWidth="1"/>
    <col min="73" max="73" width="11.6640625" style="7" customWidth="1"/>
    <col min="74" max="74" width="17.6640625" style="7" customWidth="1"/>
    <col min="75" max="75" width="20.6640625" style="7" customWidth="1"/>
    <col min="76" max="77" width="11.6640625" style="7" customWidth="1"/>
    <col min="78" max="78" width="17.6640625" style="7" customWidth="1"/>
    <col min="79" max="79" width="11.6640625" style="7" customWidth="1"/>
    <col min="80" max="81" width="19.6640625" style="7" customWidth="1"/>
    <col min="82" max="82" width="13.6640625" style="7" customWidth="1"/>
    <col min="83" max="83" width="17.6640625" style="7" customWidth="1"/>
    <col min="84" max="85" width="11.6640625" style="7" customWidth="1"/>
    <col min="86" max="86" width="20.6640625" style="7" customWidth="1"/>
    <col min="87" max="87" width="11.6640625" style="7" customWidth="1"/>
    <col min="88" max="88" width="13.6640625" style="7" customWidth="1"/>
    <col min="89" max="89" width="12.6640625" style="7" customWidth="1"/>
    <col min="90" max="90" width="11.6640625" style="7" customWidth="1"/>
    <col min="91" max="91" width="17.6640625" style="7" customWidth="1"/>
    <col min="92" max="93" width="11.6640625" style="7" customWidth="1"/>
    <col min="94" max="94" width="26.6640625" style="7" customWidth="1"/>
    <col min="95" max="95" width="12.6640625" style="7" customWidth="1"/>
    <col min="96" max="96" width="19.6640625" style="7" customWidth="1"/>
    <col min="97" max="97" width="22.6640625" style="7" customWidth="1"/>
    <col min="98" max="98" width="17.6640625" style="7" customWidth="1"/>
    <col min="99" max="99" width="20.6640625" style="7" customWidth="1"/>
    <col min="100" max="102" width="16.6640625" style="7" customWidth="1"/>
    <col min="103" max="103" width="12.6640625" style="7" customWidth="1"/>
    <col min="104" max="104" width="17.6640625" style="7" customWidth="1"/>
    <col min="105" max="105" width="13.6640625" style="7" customWidth="1"/>
    <col min="106" max="106" width="11.6640625" style="7" customWidth="1"/>
    <col min="107" max="107" width="21.6640625" style="7" customWidth="1"/>
    <col min="108" max="108" width="27.6640625" style="7" customWidth="1"/>
    <col min="109" max="109" width="20.6640625" style="7" customWidth="1"/>
    <col min="110" max="110" width="15.6640625" style="7" customWidth="1"/>
    <col min="111" max="111" width="22.6640625" style="7" customWidth="1"/>
    <col min="112" max="112" width="27.6640625" style="7" customWidth="1"/>
    <col min="113" max="113" width="25.6640625" style="7" customWidth="1"/>
    <col min="114" max="114" width="9.6640625" style="7" customWidth="1"/>
    <col min="115" max="115" width="12.6640625" style="7" customWidth="1"/>
    <col min="116" max="116" width="8.6640625" style="7" customWidth="1"/>
    <col min="117" max="117" width="12.6640625" style="7" customWidth="1"/>
    <col min="118" max="118" width="11.6640625" style="7" customWidth="1"/>
    <col min="119" max="16384" width="10.83203125" style="7"/>
  </cols>
  <sheetData>
    <row r="1" spans="1:1026" s="4" customFormat="1" x14ac:dyDescent="0.2">
      <c r="A1" s="64" t="s">
        <v>118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</row>
    <row r="2" spans="1:1026" s="5" customFormat="1" x14ac:dyDescent="0.2">
      <c r="A2" s="65" t="s">
        <v>119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</row>
    <row r="3" spans="1:1026" s="4" customFormat="1" x14ac:dyDescent="0.2">
      <c r="A3" s="66" t="s">
        <v>120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</row>
    <row r="4" spans="1:1026" ht="17" thickBot="1" x14ac:dyDescent="0.25">
      <c r="A4" s="6" t="s">
        <v>324</v>
      </c>
      <c r="B4" s="6" t="s">
        <v>325</v>
      </c>
      <c r="C4" s="6" t="s">
        <v>326</v>
      </c>
      <c r="D4" s="6" t="s">
        <v>0</v>
      </c>
      <c r="E4" s="6" t="s">
        <v>1</v>
      </c>
      <c r="F4" s="6" t="s">
        <v>2</v>
      </c>
      <c r="G4" s="6" t="s">
        <v>3</v>
      </c>
      <c r="H4" s="6" t="s">
        <v>4</v>
      </c>
      <c r="I4" s="6" t="s">
        <v>5</v>
      </c>
      <c r="J4" s="6" t="s">
        <v>6</v>
      </c>
      <c r="K4" s="6" t="s">
        <v>7</v>
      </c>
      <c r="L4" s="6" t="s">
        <v>8</v>
      </c>
      <c r="M4" s="6" t="s">
        <v>9</v>
      </c>
      <c r="N4" s="6" t="s">
        <v>10</v>
      </c>
      <c r="O4" s="6" t="s">
        <v>11</v>
      </c>
      <c r="P4" s="6" t="s">
        <v>12</v>
      </c>
      <c r="Q4" s="6" t="s">
        <v>13</v>
      </c>
      <c r="R4" s="6" t="s">
        <v>14</v>
      </c>
      <c r="S4" s="6" t="s">
        <v>15</v>
      </c>
      <c r="T4" s="6" t="s">
        <v>16</v>
      </c>
      <c r="U4" s="6" t="s">
        <v>17</v>
      </c>
      <c r="V4" s="6" t="s">
        <v>18</v>
      </c>
      <c r="W4" s="6" t="s">
        <v>19</v>
      </c>
      <c r="X4" s="6" t="s">
        <v>20</v>
      </c>
      <c r="Y4" s="6" t="s">
        <v>21</v>
      </c>
      <c r="Z4" s="6" t="s">
        <v>22</v>
      </c>
      <c r="AA4" s="6" t="s">
        <v>23</v>
      </c>
      <c r="AB4" s="6" t="s">
        <v>24</v>
      </c>
      <c r="AC4" s="6" t="s">
        <v>25</v>
      </c>
      <c r="AD4" s="6" t="s">
        <v>26</v>
      </c>
      <c r="AE4" s="6" t="s">
        <v>27</v>
      </c>
      <c r="AF4" s="6" t="s">
        <v>28</v>
      </c>
      <c r="AG4" s="6" t="s">
        <v>29</v>
      </c>
      <c r="AH4" s="6" t="s">
        <v>30</v>
      </c>
      <c r="AI4" s="6" t="s">
        <v>31</v>
      </c>
      <c r="AJ4" s="6" t="s">
        <v>32</v>
      </c>
      <c r="AK4" s="6" t="s">
        <v>33</v>
      </c>
      <c r="AL4" s="6" t="s">
        <v>34</v>
      </c>
      <c r="AM4" s="6" t="s">
        <v>35</v>
      </c>
      <c r="AN4" s="6" t="s">
        <v>36</v>
      </c>
      <c r="AO4" s="6" t="s">
        <v>37</v>
      </c>
      <c r="AP4" s="6" t="s">
        <v>38</v>
      </c>
      <c r="AQ4" s="6" t="s">
        <v>39</v>
      </c>
      <c r="AR4" s="6" t="s">
        <v>40</v>
      </c>
      <c r="AS4" s="6" t="s">
        <v>41</v>
      </c>
      <c r="AT4" s="6" t="s">
        <v>42</v>
      </c>
      <c r="AU4" s="6" t="s">
        <v>43</v>
      </c>
      <c r="AV4" s="6" t="s">
        <v>44</v>
      </c>
      <c r="AW4" s="6" t="s">
        <v>45</v>
      </c>
      <c r="AX4" s="6" t="s">
        <v>46</v>
      </c>
      <c r="AY4" s="6" t="s">
        <v>47</v>
      </c>
      <c r="AZ4" s="6" t="s">
        <v>48</v>
      </c>
      <c r="BA4" s="6" t="s">
        <v>49</v>
      </c>
      <c r="BB4" s="6" t="s">
        <v>50</v>
      </c>
      <c r="BC4" s="6" t="s">
        <v>51</v>
      </c>
      <c r="BD4" s="6" t="s">
        <v>52</v>
      </c>
      <c r="BE4" s="6" t="s">
        <v>53</v>
      </c>
      <c r="BF4" s="6" t="s">
        <v>54</v>
      </c>
      <c r="BG4" s="6" t="s">
        <v>55</v>
      </c>
      <c r="BH4" s="6" t="s">
        <v>56</v>
      </c>
      <c r="BI4" s="6" t="s">
        <v>57</v>
      </c>
      <c r="BJ4" s="6" t="s">
        <v>58</v>
      </c>
      <c r="BK4" s="6" t="s">
        <v>59</v>
      </c>
      <c r="BL4" s="6" t="s">
        <v>60</v>
      </c>
      <c r="BM4" s="6" t="s">
        <v>61</v>
      </c>
      <c r="BN4" s="6" t="s">
        <v>62</v>
      </c>
      <c r="BO4" s="6" t="s">
        <v>63</v>
      </c>
      <c r="BP4" s="6" t="s">
        <v>64</v>
      </c>
      <c r="BQ4" s="6" t="s">
        <v>65</v>
      </c>
      <c r="BR4" s="6" t="s">
        <v>66</v>
      </c>
      <c r="BS4" s="6" t="s">
        <v>67</v>
      </c>
      <c r="BT4" s="6" t="s">
        <v>68</v>
      </c>
      <c r="BU4" s="6" t="s">
        <v>69</v>
      </c>
      <c r="BV4" s="6" t="s">
        <v>70</v>
      </c>
      <c r="BW4" s="6" t="s">
        <v>71</v>
      </c>
      <c r="BX4" s="6" t="s">
        <v>72</v>
      </c>
      <c r="BY4" s="6" t="s">
        <v>73</v>
      </c>
      <c r="BZ4" s="6" t="s">
        <v>74</v>
      </c>
      <c r="CA4" s="6" t="s">
        <v>75</v>
      </c>
      <c r="CB4" s="6" t="s">
        <v>76</v>
      </c>
      <c r="CC4" s="6" t="s">
        <v>77</v>
      </c>
      <c r="CD4" s="6" t="s">
        <v>78</v>
      </c>
      <c r="CE4" s="6" t="s">
        <v>79</v>
      </c>
      <c r="CF4" s="6" t="s">
        <v>80</v>
      </c>
      <c r="CG4" s="6" t="s">
        <v>81</v>
      </c>
      <c r="CH4" s="6" t="s">
        <v>82</v>
      </c>
      <c r="CI4" s="6" t="s">
        <v>83</v>
      </c>
      <c r="CJ4" s="6" t="s">
        <v>84</v>
      </c>
      <c r="CK4" s="6" t="s">
        <v>85</v>
      </c>
      <c r="CL4" s="6" t="s">
        <v>86</v>
      </c>
      <c r="CM4" s="6" t="s">
        <v>87</v>
      </c>
      <c r="CN4" s="6" t="s">
        <v>88</v>
      </c>
      <c r="CO4" s="6" t="s">
        <v>89</v>
      </c>
      <c r="CP4" s="6" t="s">
        <v>90</v>
      </c>
      <c r="CQ4" s="6" t="s">
        <v>91</v>
      </c>
      <c r="CR4" s="6" t="s">
        <v>92</v>
      </c>
      <c r="CS4" s="6" t="s">
        <v>93</v>
      </c>
      <c r="CT4" s="6" t="s">
        <v>94</v>
      </c>
      <c r="CU4" s="6" t="s">
        <v>95</v>
      </c>
      <c r="CV4" s="6" t="s">
        <v>96</v>
      </c>
      <c r="CW4" s="6" t="s">
        <v>97</v>
      </c>
      <c r="CX4" s="6" t="s">
        <v>98</v>
      </c>
      <c r="CY4" s="6" t="s">
        <v>99</v>
      </c>
      <c r="CZ4" s="6" t="s">
        <v>100</v>
      </c>
      <c r="DA4" s="6" t="s">
        <v>101</v>
      </c>
      <c r="DB4" s="6" t="s">
        <v>102</v>
      </c>
      <c r="DC4" s="6" t="s">
        <v>103</v>
      </c>
      <c r="DD4" s="6" t="s">
        <v>104</v>
      </c>
      <c r="DE4" s="6" t="s">
        <v>105</v>
      </c>
      <c r="DF4" s="6" t="s">
        <v>106</v>
      </c>
      <c r="DG4" s="6" t="s">
        <v>107</v>
      </c>
      <c r="DH4" s="6" t="s">
        <v>108</v>
      </c>
      <c r="DI4" s="6" t="s">
        <v>109</v>
      </c>
      <c r="DJ4" s="6" t="s">
        <v>110</v>
      </c>
      <c r="DK4" s="6" t="s">
        <v>111</v>
      </c>
      <c r="DL4" s="6" t="s">
        <v>112</v>
      </c>
      <c r="DM4" s="6" t="s">
        <v>113</v>
      </c>
      <c r="DN4" s="6" t="s">
        <v>114</v>
      </c>
    </row>
    <row r="5" spans="1:1026" ht="17" thickTop="1" thickBot="1" x14ac:dyDescent="0.25">
      <c r="A5" s="61" t="s">
        <v>327</v>
      </c>
      <c r="B5" s="61"/>
      <c r="C5" s="61"/>
      <c r="D5" s="8">
        <v>108401</v>
      </c>
      <c r="E5" s="8">
        <v>66114</v>
      </c>
      <c r="F5" s="8">
        <v>46529</v>
      </c>
      <c r="G5" s="8">
        <v>24278</v>
      </c>
      <c r="H5" s="8">
        <v>27557</v>
      </c>
      <c r="I5" s="8">
        <v>175189</v>
      </c>
      <c r="J5" s="8">
        <v>50197</v>
      </c>
      <c r="K5" s="8">
        <v>34155</v>
      </c>
      <c r="L5" s="8">
        <v>24561</v>
      </c>
      <c r="M5" s="8">
        <v>37160</v>
      </c>
      <c r="N5" s="8">
        <v>51212</v>
      </c>
      <c r="O5" s="8">
        <v>40753</v>
      </c>
      <c r="P5" s="8">
        <v>288377</v>
      </c>
      <c r="Q5" s="8">
        <v>115366</v>
      </c>
      <c r="R5" s="8">
        <v>21348</v>
      </c>
      <c r="S5" s="8">
        <v>48806</v>
      </c>
      <c r="T5" s="8">
        <v>102192</v>
      </c>
      <c r="U5" s="8">
        <v>43406</v>
      </c>
      <c r="V5" s="8">
        <v>37124</v>
      </c>
      <c r="W5" s="8">
        <v>77398</v>
      </c>
      <c r="X5" s="8">
        <v>105693</v>
      </c>
      <c r="Y5" s="8">
        <v>14269</v>
      </c>
      <c r="Z5" s="8">
        <v>58929</v>
      </c>
      <c r="AA5" s="8">
        <v>78923</v>
      </c>
      <c r="AB5" s="8">
        <v>81417</v>
      </c>
      <c r="AC5" s="8">
        <v>91051</v>
      </c>
      <c r="AD5" s="8">
        <v>62842</v>
      </c>
      <c r="AE5" s="8">
        <v>152689</v>
      </c>
      <c r="AF5" s="8">
        <v>23902</v>
      </c>
      <c r="AG5" s="8">
        <v>25982</v>
      </c>
      <c r="AH5" s="8">
        <v>114510</v>
      </c>
      <c r="AI5" s="8">
        <v>236672</v>
      </c>
      <c r="AJ5" s="8">
        <v>34041</v>
      </c>
      <c r="AK5" s="8">
        <v>276744</v>
      </c>
      <c r="AL5" s="8">
        <v>172775</v>
      </c>
      <c r="AM5" s="8">
        <v>197604</v>
      </c>
      <c r="AN5" s="8">
        <v>31804</v>
      </c>
      <c r="AO5" s="8">
        <v>92192</v>
      </c>
      <c r="AP5" s="8">
        <v>204410</v>
      </c>
      <c r="AQ5" s="8">
        <v>40587</v>
      </c>
      <c r="AR5" s="8">
        <v>79823</v>
      </c>
      <c r="AS5" s="8">
        <v>50516</v>
      </c>
      <c r="AT5" s="8">
        <v>111782</v>
      </c>
      <c r="AU5" s="8">
        <v>36950</v>
      </c>
      <c r="AV5" s="8">
        <v>260945</v>
      </c>
      <c r="AW5" s="8">
        <v>104545</v>
      </c>
      <c r="AX5" s="8">
        <v>28094</v>
      </c>
      <c r="AY5" s="8">
        <v>51318</v>
      </c>
      <c r="AZ5" s="8">
        <v>10902</v>
      </c>
      <c r="BA5" s="8">
        <v>137906</v>
      </c>
      <c r="BB5" s="8">
        <v>81711</v>
      </c>
      <c r="BC5" s="8">
        <v>71028</v>
      </c>
      <c r="BD5" s="8">
        <v>23278</v>
      </c>
      <c r="BE5" s="8">
        <v>54642</v>
      </c>
      <c r="BF5" s="8">
        <v>99774</v>
      </c>
      <c r="BG5" s="8">
        <v>24611</v>
      </c>
      <c r="BH5" s="8">
        <v>134736</v>
      </c>
      <c r="BI5" s="8">
        <v>155219</v>
      </c>
      <c r="BJ5" s="8">
        <v>26629</v>
      </c>
      <c r="BK5" s="8">
        <v>346321</v>
      </c>
      <c r="BL5" s="8">
        <v>125071</v>
      </c>
      <c r="BM5" s="8">
        <v>34908</v>
      </c>
      <c r="BN5" s="8">
        <v>188776</v>
      </c>
      <c r="BO5" s="8">
        <v>103965</v>
      </c>
      <c r="BP5" s="8">
        <v>128736</v>
      </c>
      <c r="BQ5" s="8">
        <v>39317</v>
      </c>
      <c r="BR5" s="8">
        <v>67326</v>
      </c>
      <c r="BS5" s="8">
        <v>189165</v>
      </c>
      <c r="BT5" s="8">
        <v>115785</v>
      </c>
      <c r="BU5" s="8">
        <v>269437</v>
      </c>
      <c r="BV5" s="8">
        <v>30703</v>
      </c>
      <c r="BW5" s="8">
        <v>76008</v>
      </c>
      <c r="BX5" s="8">
        <v>82403</v>
      </c>
      <c r="BY5" s="8">
        <v>77789</v>
      </c>
      <c r="BZ5" s="8">
        <v>156570</v>
      </c>
      <c r="CA5" s="8">
        <v>205047</v>
      </c>
      <c r="CB5" s="8">
        <v>184703</v>
      </c>
      <c r="CC5" s="8">
        <v>206757</v>
      </c>
      <c r="CD5" s="8">
        <v>260463</v>
      </c>
      <c r="CE5" s="8">
        <v>57523</v>
      </c>
      <c r="CF5" s="8">
        <v>75394</v>
      </c>
      <c r="CG5" s="8">
        <v>60770</v>
      </c>
      <c r="CH5" s="8">
        <v>40467</v>
      </c>
      <c r="CI5" s="8" t="s">
        <v>115</v>
      </c>
      <c r="CJ5" s="8">
        <v>82286</v>
      </c>
      <c r="CK5" s="8">
        <v>117566</v>
      </c>
      <c r="CL5" s="8">
        <v>68307</v>
      </c>
      <c r="CM5" s="8">
        <v>54758</v>
      </c>
      <c r="CN5" s="8">
        <v>50702</v>
      </c>
      <c r="CO5" s="8">
        <v>42235</v>
      </c>
      <c r="CP5" s="8">
        <v>18908</v>
      </c>
      <c r="CQ5" s="8">
        <v>198323</v>
      </c>
      <c r="CR5" s="8">
        <v>262302</v>
      </c>
      <c r="CS5" s="8">
        <v>146550</v>
      </c>
      <c r="CT5" s="8">
        <v>178775</v>
      </c>
      <c r="CU5" s="8">
        <v>168958</v>
      </c>
      <c r="CV5" s="9">
        <v>9744646</v>
      </c>
      <c r="CW5" s="8">
        <v>43111</v>
      </c>
      <c r="CX5" s="8">
        <v>38147</v>
      </c>
      <c r="CY5" s="8">
        <v>26894</v>
      </c>
      <c r="CZ5" s="8">
        <v>99617</v>
      </c>
      <c r="DA5" s="8">
        <v>25349</v>
      </c>
      <c r="DB5" s="9">
        <v>233118</v>
      </c>
      <c r="DC5" s="9">
        <v>9977764</v>
      </c>
      <c r="DD5" s="8">
        <v>2369</v>
      </c>
      <c r="DE5" s="8">
        <v>1365</v>
      </c>
      <c r="DF5" s="8">
        <v>3989</v>
      </c>
      <c r="DG5" s="8">
        <v>1277</v>
      </c>
      <c r="DH5" s="8">
        <v>6250</v>
      </c>
      <c r="DI5" s="8">
        <v>21776</v>
      </c>
      <c r="DJ5" s="9">
        <v>37026</v>
      </c>
      <c r="DK5" s="8">
        <v>7523</v>
      </c>
      <c r="DL5" s="8">
        <v>43313</v>
      </c>
      <c r="DM5" s="8">
        <v>0</v>
      </c>
      <c r="DN5" s="9">
        <v>10065626</v>
      </c>
    </row>
    <row r="6" spans="1:1026" ht="16" thickTop="1" x14ac:dyDescent="0.2">
      <c r="A6" s="10"/>
      <c r="B6" s="11" t="s">
        <v>328</v>
      </c>
      <c r="C6" s="12" t="s">
        <v>329</v>
      </c>
      <c r="D6" s="13">
        <v>25644</v>
      </c>
      <c r="E6" s="13">
        <v>21159</v>
      </c>
      <c r="F6" s="13">
        <v>14161</v>
      </c>
      <c r="G6" s="13">
        <v>4121</v>
      </c>
      <c r="H6" s="13">
        <v>2744</v>
      </c>
      <c r="I6" s="13">
        <v>28454</v>
      </c>
      <c r="J6" s="13">
        <v>11731</v>
      </c>
      <c r="K6" s="13">
        <v>11003</v>
      </c>
      <c r="L6" s="13">
        <v>4834</v>
      </c>
      <c r="M6" s="13">
        <v>9561</v>
      </c>
      <c r="N6" s="13">
        <v>10371</v>
      </c>
      <c r="O6" s="13">
        <v>12250</v>
      </c>
      <c r="P6" s="13">
        <v>53481</v>
      </c>
      <c r="Q6" s="13">
        <v>25370</v>
      </c>
      <c r="R6" s="13">
        <v>6525</v>
      </c>
      <c r="S6" s="13">
        <v>13221</v>
      </c>
      <c r="T6" s="13">
        <v>18216</v>
      </c>
      <c r="U6" s="13">
        <v>10685</v>
      </c>
      <c r="V6" s="13">
        <v>9102</v>
      </c>
      <c r="W6" s="13">
        <v>16144</v>
      </c>
      <c r="X6" s="13">
        <v>30330</v>
      </c>
      <c r="Y6" s="13">
        <v>4940</v>
      </c>
      <c r="Z6" s="13">
        <v>13896</v>
      </c>
      <c r="AA6" s="13">
        <v>24478</v>
      </c>
      <c r="AB6" s="13">
        <v>17160</v>
      </c>
      <c r="AC6" s="13">
        <v>20926</v>
      </c>
      <c r="AD6" s="13">
        <v>15954</v>
      </c>
      <c r="AE6" s="13">
        <v>41907</v>
      </c>
      <c r="AF6" s="13">
        <v>4969</v>
      </c>
      <c r="AG6" s="13">
        <v>6650</v>
      </c>
      <c r="AH6" s="13">
        <v>21903</v>
      </c>
      <c r="AI6" s="13">
        <v>45094</v>
      </c>
      <c r="AJ6" s="13">
        <v>6016</v>
      </c>
      <c r="AK6" s="13">
        <v>48986</v>
      </c>
      <c r="AL6" s="13">
        <v>34507</v>
      </c>
      <c r="AM6" s="13">
        <v>51943</v>
      </c>
      <c r="AN6" s="13">
        <v>10388</v>
      </c>
      <c r="AO6" s="13">
        <v>18869</v>
      </c>
      <c r="AP6" s="13">
        <v>43659</v>
      </c>
      <c r="AQ6" s="13">
        <v>10261</v>
      </c>
      <c r="AR6" s="13">
        <v>13373</v>
      </c>
      <c r="AS6" s="13">
        <v>12523</v>
      </c>
      <c r="AT6" s="13">
        <v>32139</v>
      </c>
      <c r="AU6" s="13">
        <v>11606</v>
      </c>
      <c r="AV6" s="13">
        <v>62427</v>
      </c>
      <c r="AW6" s="13">
        <v>21766</v>
      </c>
      <c r="AX6" s="13">
        <v>6218</v>
      </c>
      <c r="AY6" s="13">
        <v>9367</v>
      </c>
      <c r="AZ6" s="13">
        <v>3351</v>
      </c>
      <c r="BA6" s="13">
        <v>39101</v>
      </c>
      <c r="BB6" s="13">
        <v>18922</v>
      </c>
      <c r="BC6" s="13">
        <v>16534</v>
      </c>
      <c r="BD6" s="13">
        <v>7538</v>
      </c>
      <c r="BE6" s="13">
        <v>19623</v>
      </c>
      <c r="BF6" s="13">
        <v>25536</v>
      </c>
      <c r="BG6" s="13">
        <v>6349</v>
      </c>
      <c r="BH6" s="13">
        <v>34881</v>
      </c>
      <c r="BI6" s="13">
        <v>47867</v>
      </c>
      <c r="BJ6" s="13">
        <v>6436</v>
      </c>
      <c r="BK6" s="13">
        <v>104728</v>
      </c>
      <c r="BL6" s="13">
        <v>35046</v>
      </c>
      <c r="BM6" s="13">
        <v>10602</v>
      </c>
      <c r="BN6" s="13">
        <v>72696</v>
      </c>
      <c r="BO6" s="13">
        <v>23871</v>
      </c>
      <c r="BP6" s="13">
        <v>21607</v>
      </c>
      <c r="BQ6" s="13">
        <v>6962</v>
      </c>
      <c r="BR6" s="13">
        <v>11439</v>
      </c>
      <c r="BS6" s="13">
        <v>51192</v>
      </c>
      <c r="BT6" s="13">
        <v>31643</v>
      </c>
      <c r="BU6" s="13">
        <v>55726</v>
      </c>
      <c r="BV6" s="13">
        <v>9427</v>
      </c>
      <c r="BW6" s="13">
        <v>20046</v>
      </c>
      <c r="BX6" s="13">
        <v>24417</v>
      </c>
      <c r="BY6" s="13">
        <v>12233</v>
      </c>
      <c r="BZ6" s="13">
        <v>28754</v>
      </c>
      <c r="CA6" s="13">
        <v>25347</v>
      </c>
      <c r="CB6" s="13">
        <v>45080</v>
      </c>
      <c r="CC6" s="13">
        <v>49137</v>
      </c>
      <c r="CD6" s="13">
        <v>47185</v>
      </c>
      <c r="CE6" s="13">
        <v>18231</v>
      </c>
      <c r="CF6" s="13">
        <v>24056</v>
      </c>
      <c r="CG6" s="13">
        <v>12735</v>
      </c>
      <c r="CH6" s="13">
        <v>9637</v>
      </c>
      <c r="CI6" s="13">
        <v>27317</v>
      </c>
      <c r="CJ6" s="13">
        <v>16977</v>
      </c>
      <c r="CK6" s="13">
        <v>33655</v>
      </c>
      <c r="CL6" s="13">
        <v>18247</v>
      </c>
      <c r="CM6" s="13">
        <v>13002</v>
      </c>
      <c r="CN6" s="13">
        <v>12469</v>
      </c>
      <c r="CO6" s="13">
        <v>12158</v>
      </c>
      <c r="CP6" s="13">
        <v>5143</v>
      </c>
      <c r="CQ6" s="13">
        <v>43332</v>
      </c>
      <c r="CR6" s="13">
        <v>36506</v>
      </c>
      <c r="CS6" s="13">
        <v>45285</v>
      </c>
      <c r="CT6" s="13">
        <v>36429</v>
      </c>
      <c r="CU6" s="13">
        <v>44564</v>
      </c>
      <c r="CV6" s="14">
        <v>2274051</v>
      </c>
      <c r="CW6" s="13">
        <v>12925</v>
      </c>
      <c r="CX6" s="13">
        <v>10496</v>
      </c>
      <c r="CY6" s="13">
        <v>8599</v>
      </c>
      <c r="CZ6" s="13">
        <v>28009</v>
      </c>
      <c r="DA6" s="13">
        <v>15782</v>
      </c>
      <c r="DB6" s="14">
        <v>75811</v>
      </c>
      <c r="DC6" s="14">
        <v>2349862</v>
      </c>
      <c r="DD6" s="13">
        <v>809</v>
      </c>
      <c r="DE6" s="13">
        <v>9</v>
      </c>
      <c r="DF6" s="13">
        <v>1027</v>
      </c>
      <c r="DG6" s="13">
        <v>0</v>
      </c>
      <c r="DH6" s="13">
        <v>1</v>
      </c>
      <c r="DI6" s="13">
        <v>5</v>
      </c>
      <c r="DJ6" s="14">
        <v>1851</v>
      </c>
      <c r="DK6" s="13">
        <v>497</v>
      </c>
      <c r="DL6" s="13">
        <v>28</v>
      </c>
      <c r="DM6" s="13">
        <v>0</v>
      </c>
      <c r="DN6" s="14">
        <v>2352238</v>
      </c>
    </row>
    <row r="7" spans="1:1026" x14ac:dyDescent="0.2">
      <c r="A7" s="10"/>
      <c r="B7" s="11" t="s">
        <v>330</v>
      </c>
      <c r="C7" s="12" t="s">
        <v>331</v>
      </c>
      <c r="D7" s="13">
        <v>12492</v>
      </c>
      <c r="E7" s="13">
        <v>5440</v>
      </c>
      <c r="F7" s="13">
        <v>4361</v>
      </c>
      <c r="G7" s="13">
        <v>2742</v>
      </c>
      <c r="H7" s="13">
        <v>1935</v>
      </c>
      <c r="I7" s="13">
        <v>26906</v>
      </c>
      <c r="J7" s="13">
        <v>4786</v>
      </c>
      <c r="K7" s="13">
        <v>2360</v>
      </c>
      <c r="L7" s="13">
        <v>2557</v>
      </c>
      <c r="M7" s="13">
        <v>4175</v>
      </c>
      <c r="N7" s="13">
        <v>6092</v>
      </c>
      <c r="O7" s="13">
        <v>3011</v>
      </c>
      <c r="P7" s="13">
        <v>44424</v>
      </c>
      <c r="Q7" s="13">
        <v>10061</v>
      </c>
      <c r="R7" s="13">
        <v>1600</v>
      </c>
      <c r="S7" s="13">
        <v>4636</v>
      </c>
      <c r="T7" s="13">
        <v>10777</v>
      </c>
      <c r="U7" s="13">
        <v>3633</v>
      </c>
      <c r="V7" s="13">
        <v>2839</v>
      </c>
      <c r="W7" s="13">
        <v>6932</v>
      </c>
      <c r="X7" s="13">
        <v>8159</v>
      </c>
      <c r="Y7" s="13">
        <v>1194</v>
      </c>
      <c r="Z7" s="13">
        <v>6437</v>
      </c>
      <c r="AA7" s="13">
        <v>6179</v>
      </c>
      <c r="AB7" s="13">
        <v>9720</v>
      </c>
      <c r="AC7" s="13">
        <v>9230</v>
      </c>
      <c r="AD7" s="13">
        <v>7328</v>
      </c>
      <c r="AE7" s="13">
        <v>13120</v>
      </c>
      <c r="AF7" s="13">
        <v>2587</v>
      </c>
      <c r="AG7" s="13">
        <v>3090</v>
      </c>
      <c r="AH7" s="13">
        <v>14606</v>
      </c>
      <c r="AI7" s="13">
        <v>31559</v>
      </c>
      <c r="AJ7" s="13">
        <v>3578</v>
      </c>
      <c r="AK7" s="13">
        <v>37163</v>
      </c>
      <c r="AL7" s="13">
        <v>27923</v>
      </c>
      <c r="AM7" s="13">
        <v>16687</v>
      </c>
      <c r="AN7" s="13">
        <v>2469</v>
      </c>
      <c r="AO7" s="13">
        <v>10274</v>
      </c>
      <c r="AP7" s="13">
        <v>22716</v>
      </c>
      <c r="AQ7" s="13">
        <v>2613</v>
      </c>
      <c r="AR7" s="13">
        <v>9040</v>
      </c>
      <c r="AS7" s="13">
        <v>5864</v>
      </c>
      <c r="AT7" s="13">
        <v>11303</v>
      </c>
      <c r="AU7" s="13">
        <v>3688</v>
      </c>
      <c r="AV7" s="13">
        <v>25136</v>
      </c>
      <c r="AW7" s="13">
        <v>12364</v>
      </c>
      <c r="AX7" s="13">
        <v>2518</v>
      </c>
      <c r="AY7" s="13">
        <v>5377</v>
      </c>
      <c r="AZ7" s="13">
        <v>808</v>
      </c>
      <c r="BA7" s="13">
        <v>10579</v>
      </c>
      <c r="BB7" s="13">
        <v>7168</v>
      </c>
      <c r="BC7" s="13">
        <v>9525</v>
      </c>
      <c r="BD7" s="13">
        <v>2131</v>
      </c>
      <c r="BE7" s="13">
        <v>3277</v>
      </c>
      <c r="BF7" s="13">
        <v>9962</v>
      </c>
      <c r="BG7" s="13">
        <v>2690</v>
      </c>
      <c r="BH7" s="13">
        <v>10021</v>
      </c>
      <c r="BI7" s="13">
        <v>18602</v>
      </c>
      <c r="BJ7" s="13">
        <v>2584</v>
      </c>
      <c r="BK7" s="13">
        <v>37870</v>
      </c>
      <c r="BL7" s="13">
        <v>14467</v>
      </c>
      <c r="BM7" s="13">
        <v>3189</v>
      </c>
      <c r="BN7" s="13">
        <v>13566</v>
      </c>
      <c r="BO7" s="13">
        <v>10460</v>
      </c>
      <c r="BP7" s="13">
        <v>12687</v>
      </c>
      <c r="BQ7" s="13">
        <v>3491</v>
      </c>
      <c r="BR7" s="13">
        <v>10872</v>
      </c>
      <c r="BS7" s="13">
        <v>19382</v>
      </c>
      <c r="BT7" s="13">
        <v>11234</v>
      </c>
      <c r="BU7" s="13">
        <v>37950</v>
      </c>
      <c r="BV7" s="13">
        <v>1667</v>
      </c>
      <c r="BW7" s="13">
        <v>5774</v>
      </c>
      <c r="BX7" s="13">
        <v>5862</v>
      </c>
      <c r="BY7" s="13">
        <v>7656</v>
      </c>
      <c r="BZ7" s="13">
        <v>19428</v>
      </c>
      <c r="CA7" s="13">
        <v>47390</v>
      </c>
      <c r="CB7" s="13">
        <v>21085</v>
      </c>
      <c r="CC7" s="13">
        <v>25467</v>
      </c>
      <c r="CD7" s="13">
        <v>45536</v>
      </c>
      <c r="CE7" s="13">
        <v>4099</v>
      </c>
      <c r="CF7" s="13">
        <v>8241</v>
      </c>
      <c r="CG7" s="13">
        <v>6010</v>
      </c>
      <c r="CH7" s="13">
        <v>4031</v>
      </c>
      <c r="CI7" s="13">
        <v>23221</v>
      </c>
      <c r="CJ7" s="13">
        <v>10523</v>
      </c>
      <c r="CK7" s="13">
        <v>9006</v>
      </c>
      <c r="CL7" s="13">
        <v>6450</v>
      </c>
      <c r="CM7" s="13">
        <v>4857</v>
      </c>
      <c r="CN7" s="13">
        <v>5158</v>
      </c>
      <c r="CO7" s="13">
        <v>3926</v>
      </c>
      <c r="CP7" s="13">
        <v>1639</v>
      </c>
      <c r="CQ7" s="13">
        <v>26248</v>
      </c>
      <c r="CR7" s="13">
        <v>54240</v>
      </c>
      <c r="CS7" s="13">
        <v>17457</v>
      </c>
      <c r="CT7" s="13">
        <v>24595</v>
      </c>
      <c r="CU7" s="13">
        <v>22302</v>
      </c>
      <c r="CV7" s="14">
        <v>1138064</v>
      </c>
      <c r="CW7" s="13">
        <v>3719</v>
      </c>
      <c r="CX7" s="13">
        <v>3290</v>
      </c>
      <c r="CY7" s="13">
        <v>1463</v>
      </c>
      <c r="CZ7" s="13">
        <v>11432</v>
      </c>
      <c r="DA7" s="13">
        <v>250</v>
      </c>
      <c r="DB7" s="14">
        <v>20154</v>
      </c>
      <c r="DC7" s="14">
        <v>1158218</v>
      </c>
      <c r="DD7" s="13">
        <v>115</v>
      </c>
      <c r="DE7" s="13">
        <v>487</v>
      </c>
      <c r="DF7" s="13">
        <v>1150</v>
      </c>
      <c r="DG7" s="13">
        <v>58</v>
      </c>
      <c r="DH7" s="13">
        <v>10</v>
      </c>
      <c r="DI7" s="13">
        <v>2187</v>
      </c>
      <c r="DJ7" s="14">
        <v>4007</v>
      </c>
      <c r="DK7" s="13">
        <v>2793</v>
      </c>
      <c r="DL7" s="13">
        <v>4736</v>
      </c>
      <c r="DM7" s="13">
        <v>0</v>
      </c>
      <c r="DN7" s="14">
        <v>1169754</v>
      </c>
    </row>
    <row r="8" spans="1:1026" x14ac:dyDescent="0.2">
      <c r="A8" s="10"/>
      <c r="B8" s="11" t="s">
        <v>332</v>
      </c>
      <c r="C8" s="12" t="s">
        <v>333</v>
      </c>
      <c r="D8" s="13">
        <v>8176</v>
      </c>
      <c r="E8" s="13">
        <v>5413</v>
      </c>
      <c r="F8" s="13">
        <v>3272</v>
      </c>
      <c r="G8" s="13">
        <v>1965</v>
      </c>
      <c r="H8" s="13">
        <v>1584</v>
      </c>
      <c r="I8" s="13">
        <v>6989</v>
      </c>
      <c r="J8" s="13">
        <v>3705</v>
      </c>
      <c r="K8" s="13">
        <v>2458</v>
      </c>
      <c r="L8" s="13">
        <v>1698</v>
      </c>
      <c r="M8" s="13">
        <v>2937</v>
      </c>
      <c r="N8" s="13">
        <v>3570</v>
      </c>
      <c r="O8" s="13">
        <v>3138</v>
      </c>
      <c r="P8" s="13">
        <v>15243</v>
      </c>
      <c r="Q8" s="13">
        <v>8366</v>
      </c>
      <c r="R8" s="13">
        <v>2021</v>
      </c>
      <c r="S8" s="13">
        <v>4240</v>
      </c>
      <c r="T8" s="13">
        <v>8352</v>
      </c>
      <c r="U8" s="13">
        <v>3623</v>
      </c>
      <c r="V8" s="13">
        <v>2482</v>
      </c>
      <c r="W8" s="13">
        <v>5745</v>
      </c>
      <c r="X8" s="13">
        <v>6922</v>
      </c>
      <c r="Y8" s="13">
        <v>1315</v>
      </c>
      <c r="Z8" s="13">
        <v>4856</v>
      </c>
      <c r="AA8" s="13">
        <v>5783</v>
      </c>
      <c r="AB8" s="13">
        <v>5419</v>
      </c>
      <c r="AC8" s="13">
        <v>8473</v>
      </c>
      <c r="AD8" s="13">
        <v>5257</v>
      </c>
      <c r="AE8" s="13">
        <v>8809</v>
      </c>
      <c r="AF8" s="13">
        <v>1293</v>
      </c>
      <c r="AG8" s="13">
        <v>1565</v>
      </c>
      <c r="AH8" s="13">
        <v>8638</v>
      </c>
      <c r="AI8" s="13">
        <v>14728</v>
      </c>
      <c r="AJ8" s="13">
        <v>2398</v>
      </c>
      <c r="AK8" s="13">
        <v>18238</v>
      </c>
      <c r="AL8" s="13">
        <v>11028</v>
      </c>
      <c r="AM8" s="13">
        <v>11314</v>
      </c>
      <c r="AN8" s="13">
        <v>2572</v>
      </c>
      <c r="AO8" s="13">
        <v>7850</v>
      </c>
      <c r="AP8" s="13">
        <v>12688</v>
      </c>
      <c r="AQ8" s="13">
        <v>3160</v>
      </c>
      <c r="AR8" s="13">
        <v>4601</v>
      </c>
      <c r="AS8" s="13">
        <v>3815</v>
      </c>
      <c r="AT8" s="13">
        <v>7533</v>
      </c>
      <c r="AU8" s="13">
        <v>2455</v>
      </c>
      <c r="AV8" s="13">
        <v>15654</v>
      </c>
      <c r="AW8" s="13">
        <v>6840</v>
      </c>
      <c r="AX8" s="13">
        <v>2228</v>
      </c>
      <c r="AY8" s="13">
        <v>3571</v>
      </c>
      <c r="AZ8" s="13">
        <v>1007</v>
      </c>
      <c r="BA8" s="13">
        <v>8800</v>
      </c>
      <c r="BB8" s="13">
        <v>7168</v>
      </c>
      <c r="BC8" s="13">
        <v>5645</v>
      </c>
      <c r="BD8" s="13">
        <v>1912</v>
      </c>
      <c r="BE8" s="13">
        <v>3027</v>
      </c>
      <c r="BF8" s="13">
        <v>7745</v>
      </c>
      <c r="BG8" s="13">
        <v>2306</v>
      </c>
      <c r="BH8" s="13">
        <v>8565</v>
      </c>
      <c r="BI8" s="13">
        <v>9848</v>
      </c>
      <c r="BJ8" s="13">
        <v>2053</v>
      </c>
      <c r="BK8" s="13">
        <v>23872</v>
      </c>
      <c r="BL8" s="13">
        <v>10609</v>
      </c>
      <c r="BM8" s="13">
        <v>3995</v>
      </c>
      <c r="BN8" s="13">
        <v>13913</v>
      </c>
      <c r="BO8" s="13">
        <v>6622</v>
      </c>
      <c r="BP8" s="13">
        <v>7379</v>
      </c>
      <c r="BQ8" s="13">
        <v>2584</v>
      </c>
      <c r="BR8" s="13">
        <v>4182</v>
      </c>
      <c r="BS8" s="13">
        <v>11572</v>
      </c>
      <c r="BT8" s="13">
        <v>6475</v>
      </c>
      <c r="BU8" s="13">
        <v>13317</v>
      </c>
      <c r="BV8" s="13">
        <v>2918</v>
      </c>
      <c r="BW8" s="13">
        <v>5759</v>
      </c>
      <c r="BX8" s="13">
        <v>5227</v>
      </c>
      <c r="BY8" s="13">
        <v>4209</v>
      </c>
      <c r="BZ8" s="13">
        <v>10147</v>
      </c>
      <c r="CA8" s="13">
        <v>11093</v>
      </c>
      <c r="CB8" s="13">
        <v>12952</v>
      </c>
      <c r="CC8" s="13">
        <v>14738</v>
      </c>
      <c r="CD8" s="13">
        <v>18230</v>
      </c>
      <c r="CE8" s="13">
        <v>4470</v>
      </c>
      <c r="CF8" s="13">
        <v>6913</v>
      </c>
      <c r="CG8" s="13">
        <v>4454</v>
      </c>
      <c r="CH8" s="13">
        <v>3052</v>
      </c>
      <c r="CI8" s="13">
        <v>9265</v>
      </c>
      <c r="CJ8" s="13">
        <v>4864</v>
      </c>
      <c r="CK8" s="13">
        <v>6842</v>
      </c>
      <c r="CL8" s="13">
        <v>4739</v>
      </c>
      <c r="CM8" s="13">
        <v>3753</v>
      </c>
      <c r="CN8" s="13">
        <v>3707</v>
      </c>
      <c r="CO8" s="13">
        <v>3477</v>
      </c>
      <c r="CP8" s="13">
        <v>1532</v>
      </c>
      <c r="CQ8" s="13">
        <v>11071</v>
      </c>
      <c r="CR8" s="13">
        <v>13483</v>
      </c>
      <c r="CS8" s="13">
        <v>3758</v>
      </c>
      <c r="CT8" s="13">
        <v>7211</v>
      </c>
      <c r="CU8" s="13">
        <v>8120</v>
      </c>
      <c r="CV8" s="14">
        <v>632560</v>
      </c>
      <c r="CW8" s="13">
        <v>1214</v>
      </c>
      <c r="CX8" s="13">
        <v>1185</v>
      </c>
      <c r="CY8" s="13">
        <v>664</v>
      </c>
      <c r="CZ8" s="13">
        <v>3008</v>
      </c>
      <c r="DA8" s="13">
        <v>25</v>
      </c>
      <c r="DB8" s="14">
        <v>6096</v>
      </c>
      <c r="DC8" s="14">
        <v>638656</v>
      </c>
      <c r="DD8" s="13">
        <v>58</v>
      </c>
      <c r="DE8" s="13">
        <v>10</v>
      </c>
      <c r="DF8" s="13">
        <v>31</v>
      </c>
      <c r="DG8" s="13">
        <v>0</v>
      </c>
      <c r="DH8" s="13">
        <v>433</v>
      </c>
      <c r="DI8" s="13">
        <v>1797</v>
      </c>
      <c r="DJ8" s="14">
        <v>2329</v>
      </c>
      <c r="DK8" s="13">
        <v>318</v>
      </c>
      <c r="DL8" s="13">
        <v>6951</v>
      </c>
      <c r="DM8" s="13">
        <v>0</v>
      </c>
      <c r="DN8" s="14">
        <v>648254</v>
      </c>
    </row>
    <row r="9" spans="1:1026" x14ac:dyDescent="0.2">
      <c r="A9" s="10"/>
      <c r="B9" s="11" t="s">
        <v>334</v>
      </c>
      <c r="C9" s="12" t="s">
        <v>335</v>
      </c>
      <c r="D9" s="13">
        <v>7362</v>
      </c>
      <c r="E9" s="13">
        <v>3448</v>
      </c>
      <c r="F9" s="13">
        <v>2710</v>
      </c>
      <c r="G9" s="13">
        <v>748</v>
      </c>
      <c r="H9" s="13">
        <v>659</v>
      </c>
      <c r="I9" s="13">
        <v>8060</v>
      </c>
      <c r="J9" s="13">
        <v>3077</v>
      </c>
      <c r="K9" s="13">
        <v>1760</v>
      </c>
      <c r="L9" s="13">
        <v>1295</v>
      </c>
      <c r="M9" s="13">
        <v>1507</v>
      </c>
      <c r="N9" s="13">
        <v>1433</v>
      </c>
      <c r="O9" s="13">
        <v>2486</v>
      </c>
      <c r="P9" s="13">
        <v>12915</v>
      </c>
      <c r="Q9" s="13">
        <v>7654</v>
      </c>
      <c r="R9" s="13">
        <v>548</v>
      </c>
      <c r="S9" s="13">
        <v>2520</v>
      </c>
      <c r="T9" s="13">
        <v>5109</v>
      </c>
      <c r="U9" s="13">
        <v>2241</v>
      </c>
      <c r="V9" s="13">
        <v>1660</v>
      </c>
      <c r="W9" s="13">
        <v>4549</v>
      </c>
      <c r="X9" s="13">
        <v>5099</v>
      </c>
      <c r="Y9" s="13">
        <v>1339</v>
      </c>
      <c r="Z9" s="13">
        <v>3158</v>
      </c>
      <c r="AA9" s="13">
        <v>2393</v>
      </c>
      <c r="AB9" s="13">
        <v>4625</v>
      </c>
      <c r="AC9" s="13">
        <v>5019</v>
      </c>
      <c r="AD9" s="13">
        <v>3627</v>
      </c>
      <c r="AE9" s="13">
        <v>7981</v>
      </c>
      <c r="AF9" s="13">
        <v>647</v>
      </c>
      <c r="AG9" s="13">
        <v>842</v>
      </c>
      <c r="AH9" s="13">
        <v>4315</v>
      </c>
      <c r="AI9" s="13">
        <v>13328</v>
      </c>
      <c r="AJ9" s="13">
        <v>2739</v>
      </c>
      <c r="AK9" s="13">
        <v>13241</v>
      </c>
      <c r="AL9" s="13">
        <v>6994</v>
      </c>
      <c r="AM9" s="13">
        <v>16980</v>
      </c>
      <c r="AN9" s="13">
        <v>2028</v>
      </c>
      <c r="AO9" s="13">
        <v>6835</v>
      </c>
      <c r="AP9" s="13">
        <v>12775</v>
      </c>
      <c r="AQ9" s="13">
        <v>1829</v>
      </c>
      <c r="AR9" s="13">
        <v>9309</v>
      </c>
      <c r="AS9" s="13">
        <v>2871</v>
      </c>
      <c r="AT9" s="13">
        <v>14415</v>
      </c>
      <c r="AU9" s="13">
        <v>2313</v>
      </c>
      <c r="AV9" s="13">
        <v>27167</v>
      </c>
      <c r="AW9" s="13">
        <v>8232</v>
      </c>
      <c r="AX9" s="13">
        <v>1074</v>
      </c>
      <c r="AY9" s="13">
        <v>5475</v>
      </c>
      <c r="AZ9" s="13">
        <v>125</v>
      </c>
      <c r="BA9" s="13">
        <v>18720</v>
      </c>
      <c r="BB9" s="13">
        <v>3108</v>
      </c>
      <c r="BC9" s="13">
        <v>4205</v>
      </c>
      <c r="BD9" s="13">
        <v>482</v>
      </c>
      <c r="BE9" s="13">
        <v>3950</v>
      </c>
      <c r="BF9" s="13">
        <v>6061</v>
      </c>
      <c r="BG9" s="13">
        <v>1244</v>
      </c>
      <c r="BH9" s="13">
        <v>8703</v>
      </c>
      <c r="BI9" s="13">
        <v>5821</v>
      </c>
      <c r="BJ9" s="13">
        <v>1370</v>
      </c>
      <c r="BK9" s="13">
        <v>29784</v>
      </c>
      <c r="BL9" s="13">
        <v>6716</v>
      </c>
      <c r="BM9" s="13">
        <v>1564</v>
      </c>
      <c r="BN9" s="13">
        <v>16209</v>
      </c>
      <c r="BO9" s="13">
        <v>8115</v>
      </c>
      <c r="BP9" s="13">
        <v>7994</v>
      </c>
      <c r="BQ9" s="13">
        <v>2331</v>
      </c>
      <c r="BR9" s="13">
        <v>3170</v>
      </c>
      <c r="BS9" s="13">
        <v>15548</v>
      </c>
      <c r="BT9" s="13">
        <v>7626</v>
      </c>
      <c r="BU9" s="13">
        <v>20075</v>
      </c>
      <c r="BV9" s="13">
        <v>1296</v>
      </c>
      <c r="BW9" s="13">
        <v>5400</v>
      </c>
      <c r="BX9" s="13">
        <v>8433</v>
      </c>
      <c r="BY9" s="13">
        <v>3206</v>
      </c>
      <c r="BZ9" s="13">
        <v>5713</v>
      </c>
      <c r="CA9" s="13">
        <v>7229</v>
      </c>
      <c r="CB9" s="13">
        <v>11932</v>
      </c>
      <c r="CC9" s="13">
        <v>11638</v>
      </c>
      <c r="CD9" s="13">
        <v>13317</v>
      </c>
      <c r="CE9" s="13">
        <v>3579</v>
      </c>
      <c r="CF9" s="13">
        <v>2997</v>
      </c>
      <c r="CG9" s="13">
        <v>3222</v>
      </c>
      <c r="CH9" s="13">
        <v>2115</v>
      </c>
      <c r="CI9" s="13">
        <v>6276</v>
      </c>
      <c r="CJ9" s="13">
        <v>3470</v>
      </c>
      <c r="CK9" s="13">
        <v>13097</v>
      </c>
      <c r="CL9" s="13">
        <v>3702</v>
      </c>
      <c r="CM9" s="13">
        <v>5074</v>
      </c>
      <c r="CN9" s="13">
        <v>2445</v>
      </c>
      <c r="CO9" s="13">
        <v>1964</v>
      </c>
      <c r="CP9" s="13">
        <v>668</v>
      </c>
      <c r="CQ9" s="13">
        <v>11734</v>
      </c>
      <c r="CR9" s="13">
        <v>10538</v>
      </c>
      <c r="CS9" s="13">
        <v>8149</v>
      </c>
      <c r="CT9" s="13">
        <v>9214</v>
      </c>
      <c r="CU9" s="13">
        <v>10026</v>
      </c>
      <c r="CV9" s="14">
        <v>597746</v>
      </c>
      <c r="CW9" s="13">
        <v>3272</v>
      </c>
      <c r="CX9" s="13">
        <v>2945</v>
      </c>
      <c r="CY9" s="13">
        <v>1996</v>
      </c>
      <c r="CZ9" s="13">
        <v>4511</v>
      </c>
      <c r="DA9" s="13">
        <v>2658</v>
      </c>
      <c r="DB9" s="14">
        <v>15382</v>
      </c>
      <c r="DC9" s="14">
        <v>613128</v>
      </c>
      <c r="DD9" s="13">
        <v>0</v>
      </c>
      <c r="DE9" s="13">
        <v>60</v>
      </c>
      <c r="DF9" s="13">
        <v>240</v>
      </c>
      <c r="DG9" s="13">
        <v>78</v>
      </c>
      <c r="DH9" s="13">
        <v>483</v>
      </c>
      <c r="DI9" s="13">
        <v>1470</v>
      </c>
      <c r="DJ9" s="14">
        <v>2331</v>
      </c>
      <c r="DK9" s="13">
        <v>312</v>
      </c>
      <c r="DL9" s="13">
        <v>0</v>
      </c>
      <c r="DM9" s="13">
        <v>0</v>
      </c>
      <c r="DN9" s="14">
        <v>615771</v>
      </c>
    </row>
    <row r="10" spans="1:1026" x14ac:dyDescent="0.2">
      <c r="A10" s="10"/>
      <c r="B10" s="11" t="s">
        <v>336</v>
      </c>
      <c r="C10" s="12" t="s">
        <v>337</v>
      </c>
      <c r="D10" s="13">
        <v>4135</v>
      </c>
      <c r="E10" s="13">
        <v>2454</v>
      </c>
      <c r="F10" s="13">
        <v>1559</v>
      </c>
      <c r="G10" s="13">
        <v>2243</v>
      </c>
      <c r="H10" s="13">
        <v>3025</v>
      </c>
      <c r="I10" s="13">
        <v>8495</v>
      </c>
      <c r="J10" s="13">
        <v>3874</v>
      </c>
      <c r="K10" s="13">
        <v>1657</v>
      </c>
      <c r="L10" s="13">
        <v>1339</v>
      </c>
      <c r="M10" s="13">
        <v>4240</v>
      </c>
      <c r="N10" s="13">
        <v>3789</v>
      </c>
      <c r="O10" s="13">
        <v>2983</v>
      </c>
      <c r="P10" s="13">
        <v>20313</v>
      </c>
      <c r="Q10" s="13">
        <v>13777</v>
      </c>
      <c r="R10" s="13">
        <v>1418</v>
      </c>
      <c r="S10" s="13">
        <v>3318</v>
      </c>
      <c r="T10" s="13">
        <v>4745</v>
      </c>
      <c r="U10" s="13">
        <v>3106</v>
      </c>
      <c r="V10" s="13">
        <v>2096</v>
      </c>
      <c r="W10" s="13">
        <v>6445</v>
      </c>
      <c r="X10" s="13">
        <v>5267</v>
      </c>
      <c r="Y10" s="13">
        <v>453</v>
      </c>
      <c r="Z10" s="13">
        <v>4000</v>
      </c>
      <c r="AA10" s="13">
        <v>6030</v>
      </c>
      <c r="AB10" s="13">
        <v>5717</v>
      </c>
      <c r="AC10" s="13">
        <v>6247</v>
      </c>
      <c r="AD10" s="13">
        <v>5147</v>
      </c>
      <c r="AE10" s="13">
        <v>15626</v>
      </c>
      <c r="AF10" s="13">
        <v>991</v>
      </c>
      <c r="AG10" s="13">
        <v>470</v>
      </c>
      <c r="AH10" s="13">
        <v>22702</v>
      </c>
      <c r="AI10" s="13">
        <v>13033</v>
      </c>
      <c r="AJ10" s="13">
        <v>2135</v>
      </c>
      <c r="AK10" s="13">
        <v>17064</v>
      </c>
      <c r="AL10" s="13">
        <v>12327</v>
      </c>
      <c r="AM10" s="13">
        <v>10719</v>
      </c>
      <c r="AN10" s="13">
        <v>1898</v>
      </c>
      <c r="AO10" s="13">
        <v>5601</v>
      </c>
      <c r="AP10" s="13">
        <v>8227</v>
      </c>
      <c r="AQ10" s="13">
        <v>3242</v>
      </c>
      <c r="AR10" s="13">
        <v>3099</v>
      </c>
      <c r="AS10" s="13">
        <v>3624</v>
      </c>
      <c r="AT10" s="13">
        <v>3918</v>
      </c>
      <c r="AU10" s="13">
        <v>3284</v>
      </c>
      <c r="AV10" s="13">
        <v>16939</v>
      </c>
      <c r="AW10" s="13">
        <v>7810</v>
      </c>
      <c r="AX10" s="13">
        <v>1868</v>
      </c>
      <c r="AY10" s="13">
        <v>2387</v>
      </c>
      <c r="AZ10" s="13">
        <v>1265</v>
      </c>
      <c r="BA10" s="13">
        <v>6479</v>
      </c>
      <c r="BB10" s="13">
        <v>6317</v>
      </c>
      <c r="BC10" s="13">
        <v>3605</v>
      </c>
      <c r="BD10" s="13">
        <v>2057</v>
      </c>
      <c r="BE10" s="13">
        <v>3485</v>
      </c>
      <c r="BF10" s="13">
        <v>6730</v>
      </c>
      <c r="BG10" s="13">
        <v>3329</v>
      </c>
      <c r="BH10" s="13">
        <v>10645</v>
      </c>
      <c r="BI10" s="13">
        <v>11518</v>
      </c>
      <c r="BJ10" s="13">
        <v>1865</v>
      </c>
      <c r="BK10" s="13">
        <v>12165</v>
      </c>
      <c r="BL10" s="13">
        <v>5512</v>
      </c>
      <c r="BM10" s="13">
        <v>1856</v>
      </c>
      <c r="BN10" s="13">
        <v>5469</v>
      </c>
      <c r="BO10" s="13">
        <v>3539</v>
      </c>
      <c r="BP10" s="13">
        <v>8977</v>
      </c>
      <c r="BQ10" s="13">
        <v>2486</v>
      </c>
      <c r="BR10" s="13">
        <v>3426</v>
      </c>
      <c r="BS10" s="13">
        <v>14241</v>
      </c>
      <c r="BT10" s="13">
        <v>8308</v>
      </c>
      <c r="BU10" s="13">
        <v>11129</v>
      </c>
      <c r="BV10" s="13">
        <v>3334</v>
      </c>
      <c r="BW10" s="13">
        <v>3262</v>
      </c>
      <c r="BX10" s="13">
        <v>6117</v>
      </c>
      <c r="BY10" s="13">
        <v>4565</v>
      </c>
      <c r="BZ10" s="13">
        <v>5532</v>
      </c>
      <c r="CA10" s="13">
        <v>4821</v>
      </c>
      <c r="CB10" s="13">
        <v>10301</v>
      </c>
      <c r="CC10" s="13">
        <v>10412</v>
      </c>
      <c r="CD10" s="13">
        <v>9706</v>
      </c>
      <c r="CE10" s="13">
        <v>4089</v>
      </c>
      <c r="CF10" s="13">
        <v>4179</v>
      </c>
      <c r="CG10" s="13">
        <v>2630</v>
      </c>
      <c r="CH10" s="13">
        <v>1840</v>
      </c>
      <c r="CI10" s="13">
        <v>7801</v>
      </c>
      <c r="CJ10" s="13">
        <v>11382</v>
      </c>
      <c r="CK10" s="13">
        <v>5973</v>
      </c>
      <c r="CL10" s="13">
        <v>4679</v>
      </c>
      <c r="CM10" s="13">
        <v>4684</v>
      </c>
      <c r="CN10" s="13">
        <v>2613</v>
      </c>
      <c r="CO10" s="13">
        <v>2375</v>
      </c>
      <c r="CP10" s="13">
        <v>1147</v>
      </c>
      <c r="CQ10" s="13">
        <v>10157</v>
      </c>
      <c r="CR10" s="13">
        <v>7629</v>
      </c>
      <c r="CS10" s="13">
        <v>7509</v>
      </c>
      <c r="CT10" s="13">
        <v>9884</v>
      </c>
      <c r="CU10" s="13">
        <v>6824</v>
      </c>
      <c r="CV10" s="14">
        <v>572684</v>
      </c>
      <c r="CW10" s="13">
        <v>3428</v>
      </c>
      <c r="CX10" s="13">
        <v>2576</v>
      </c>
      <c r="CY10" s="13">
        <v>1752</v>
      </c>
      <c r="CZ10" s="13">
        <v>7128</v>
      </c>
      <c r="DA10" s="13">
        <v>2993</v>
      </c>
      <c r="DB10" s="14">
        <v>17877</v>
      </c>
      <c r="DC10" s="14">
        <v>590561</v>
      </c>
      <c r="DD10" s="13">
        <v>1</v>
      </c>
      <c r="DE10" s="13">
        <v>0</v>
      </c>
      <c r="DF10" s="13">
        <v>1</v>
      </c>
      <c r="DG10" s="13">
        <v>0</v>
      </c>
      <c r="DH10" s="13">
        <v>7</v>
      </c>
      <c r="DI10" s="13">
        <v>581</v>
      </c>
      <c r="DJ10" s="14">
        <v>590</v>
      </c>
      <c r="DK10" s="13">
        <v>169</v>
      </c>
      <c r="DL10" s="13">
        <v>4</v>
      </c>
      <c r="DM10" s="13">
        <v>0</v>
      </c>
      <c r="DN10" s="14">
        <v>591324</v>
      </c>
    </row>
    <row r="11" spans="1:1026" x14ac:dyDescent="0.2">
      <c r="A11" s="10"/>
      <c r="B11" s="11" t="s">
        <v>338</v>
      </c>
      <c r="C11" s="12" t="s">
        <v>339</v>
      </c>
      <c r="D11" s="13">
        <v>5098</v>
      </c>
      <c r="E11" s="13">
        <v>5389</v>
      </c>
      <c r="F11" s="13">
        <v>1881</v>
      </c>
      <c r="G11" s="13">
        <v>1471</v>
      </c>
      <c r="H11" s="13">
        <v>1425</v>
      </c>
      <c r="I11" s="13">
        <v>8444</v>
      </c>
      <c r="J11" s="13">
        <v>1979</v>
      </c>
      <c r="K11" s="13">
        <v>1223</v>
      </c>
      <c r="L11" s="13">
        <v>1305</v>
      </c>
      <c r="M11" s="13">
        <v>1936</v>
      </c>
      <c r="N11" s="13">
        <v>2335</v>
      </c>
      <c r="O11" s="13">
        <v>1970</v>
      </c>
      <c r="P11" s="13">
        <v>13485</v>
      </c>
      <c r="Q11" s="13">
        <v>6878</v>
      </c>
      <c r="R11" s="13">
        <v>1046</v>
      </c>
      <c r="S11" s="13">
        <v>2495</v>
      </c>
      <c r="T11" s="13">
        <v>5402</v>
      </c>
      <c r="U11" s="13">
        <v>2248</v>
      </c>
      <c r="V11" s="13">
        <v>1769</v>
      </c>
      <c r="W11" s="13">
        <v>5333</v>
      </c>
      <c r="X11" s="13">
        <v>4319</v>
      </c>
      <c r="Y11" s="13">
        <v>747</v>
      </c>
      <c r="Z11" s="13">
        <v>3336</v>
      </c>
      <c r="AA11" s="13">
        <v>5255</v>
      </c>
      <c r="AB11" s="13">
        <v>4295</v>
      </c>
      <c r="AC11" s="13">
        <v>6061</v>
      </c>
      <c r="AD11" s="13">
        <v>3450</v>
      </c>
      <c r="AE11" s="13">
        <v>6648</v>
      </c>
      <c r="AF11" s="13">
        <v>1040</v>
      </c>
      <c r="AG11" s="13">
        <v>1036</v>
      </c>
      <c r="AH11" s="13">
        <v>4645</v>
      </c>
      <c r="AI11" s="13">
        <v>13684</v>
      </c>
      <c r="AJ11" s="13">
        <v>2261</v>
      </c>
      <c r="AK11" s="13">
        <v>17009</v>
      </c>
      <c r="AL11" s="13">
        <v>6822</v>
      </c>
      <c r="AM11" s="13">
        <v>10151</v>
      </c>
      <c r="AN11" s="13">
        <v>1771</v>
      </c>
      <c r="AO11" s="13">
        <v>5804</v>
      </c>
      <c r="AP11" s="13">
        <v>10941</v>
      </c>
      <c r="AQ11" s="13">
        <v>2566</v>
      </c>
      <c r="AR11" s="13">
        <v>3228</v>
      </c>
      <c r="AS11" s="13">
        <v>1931</v>
      </c>
      <c r="AT11" s="13">
        <v>5860</v>
      </c>
      <c r="AU11" s="13">
        <v>1485</v>
      </c>
      <c r="AV11" s="13">
        <v>11042</v>
      </c>
      <c r="AW11" s="13">
        <v>6680</v>
      </c>
      <c r="AX11" s="13">
        <v>1341</v>
      </c>
      <c r="AY11" s="13">
        <v>2433</v>
      </c>
      <c r="AZ11" s="13">
        <v>587</v>
      </c>
      <c r="BA11" s="13">
        <v>6864</v>
      </c>
      <c r="BB11" s="13">
        <v>3998</v>
      </c>
      <c r="BC11" s="13">
        <v>4135</v>
      </c>
      <c r="BD11" s="13">
        <v>1328</v>
      </c>
      <c r="BE11" s="13">
        <v>2721</v>
      </c>
      <c r="BF11" s="13">
        <v>5973</v>
      </c>
      <c r="BG11" s="13">
        <v>1361</v>
      </c>
      <c r="BH11" s="13">
        <v>6217</v>
      </c>
      <c r="BI11" s="13">
        <v>9048</v>
      </c>
      <c r="BJ11" s="13">
        <v>1850</v>
      </c>
      <c r="BK11" s="13">
        <v>20593</v>
      </c>
      <c r="BL11" s="13">
        <v>9078</v>
      </c>
      <c r="BM11" s="13">
        <v>2172</v>
      </c>
      <c r="BN11" s="13">
        <v>10374</v>
      </c>
      <c r="BO11" s="13">
        <v>5286</v>
      </c>
      <c r="BP11" s="13">
        <v>5711</v>
      </c>
      <c r="BQ11" s="13">
        <v>1569</v>
      </c>
      <c r="BR11" s="13">
        <v>4506</v>
      </c>
      <c r="BS11" s="13">
        <v>9634</v>
      </c>
      <c r="BT11" s="13">
        <v>5608</v>
      </c>
      <c r="BU11" s="13">
        <v>14644</v>
      </c>
      <c r="BV11" s="13">
        <v>2066</v>
      </c>
      <c r="BW11" s="13">
        <v>4504</v>
      </c>
      <c r="BX11" s="13">
        <v>3666</v>
      </c>
      <c r="BY11" s="13">
        <v>3330</v>
      </c>
      <c r="BZ11" s="13">
        <v>6634</v>
      </c>
      <c r="CA11" s="13">
        <v>10012</v>
      </c>
      <c r="CB11" s="13">
        <v>11868</v>
      </c>
      <c r="CC11" s="13">
        <v>16012</v>
      </c>
      <c r="CD11" s="13">
        <v>15849</v>
      </c>
      <c r="CE11" s="13">
        <v>2557</v>
      </c>
      <c r="CF11" s="13">
        <v>5109</v>
      </c>
      <c r="CG11" s="13">
        <v>2804</v>
      </c>
      <c r="CH11" s="13">
        <v>2645</v>
      </c>
      <c r="CI11" s="13">
        <v>6791</v>
      </c>
      <c r="CJ11" s="13">
        <v>3758</v>
      </c>
      <c r="CK11" s="13">
        <v>4778</v>
      </c>
      <c r="CL11" s="13">
        <v>3969</v>
      </c>
      <c r="CM11" s="13">
        <v>3454</v>
      </c>
      <c r="CN11" s="13">
        <v>4082</v>
      </c>
      <c r="CO11" s="13">
        <v>2508</v>
      </c>
      <c r="CP11" s="13">
        <v>1359</v>
      </c>
      <c r="CQ11" s="13">
        <v>13162</v>
      </c>
      <c r="CR11" s="13">
        <v>16059</v>
      </c>
      <c r="CS11" s="13">
        <v>12588</v>
      </c>
      <c r="CT11" s="13">
        <v>11178</v>
      </c>
      <c r="CU11" s="13">
        <v>12517</v>
      </c>
      <c r="CV11" s="14">
        <v>535469</v>
      </c>
      <c r="CW11" s="13">
        <v>1990</v>
      </c>
      <c r="CX11" s="13">
        <v>2393</v>
      </c>
      <c r="CY11" s="13">
        <v>2016</v>
      </c>
      <c r="CZ11" s="13">
        <v>3494</v>
      </c>
      <c r="DA11" s="13">
        <v>526</v>
      </c>
      <c r="DB11" s="14">
        <v>10419</v>
      </c>
      <c r="DC11" s="14">
        <v>545888</v>
      </c>
      <c r="DD11" s="13">
        <v>84</v>
      </c>
      <c r="DE11" s="13">
        <v>98</v>
      </c>
      <c r="DF11" s="13">
        <v>0</v>
      </c>
      <c r="DG11" s="13">
        <v>1</v>
      </c>
      <c r="DH11" s="13">
        <v>21</v>
      </c>
      <c r="DI11" s="13">
        <v>1196</v>
      </c>
      <c r="DJ11" s="14">
        <v>1400</v>
      </c>
      <c r="DK11" s="13">
        <v>169</v>
      </c>
      <c r="DL11" s="13">
        <v>214</v>
      </c>
      <c r="DM11" s="13">
        <v>0</v>
      </c>
      <c r="DN11" s="14">
        <v>547671</v>
      </c>
    </row>
    <row r="12" spans="1:1026" x14ac:dyDescent="0.2">
      <c r="A12" s="10"/>
      <c r="B12" s="11" t="s">
        <v>340</v>
      </c>
      <c r="C12" s="12" t="s">
        <v>341</v>
      </c>
      <c r="D12" s="13">
        <v>5587</v>
      </c>
      <c r="E12" s="13">
        <v>1418</v>
      </c>
      <c r="F12" s="13">
        <v>1600</v>
      </c>
      <c r="G12" s="13">
        <v>896</v>
      </c>
      <c r="H12" s="13">
        <v>610</v>
      </c>
      <c r="I12" s="13">
        <v>11972</v>
      </c>
      <c r="J12" s="13">
        <v>1080</v>
      </c>
      <c r="K12" s="13">
        <v>366</v>
      </c>
      <c r="L12" s="13">
        <v>643</v>
      </c>
      <c r="M12" s="13">
        <v>999</v>
      </c>
      <c r="N12" s="13">
        <v>1535</v>
      </c>
      <c r="O12" s="13">
        <v>841</v>
      </c>
      <c r="P12" s="13">
        <v>14488</v>
      </c>
      <c r="Q12" s="13">
        <v>4714</v>
      </c>
      <c r="R12" s="13">
        <v>698</v>
      </c>
      <c r="S12" s="13">
        <v>1923</v>
      </c>
      <c r="T12" s="13">
        <v>6433</v>
      </c>
      <c r="U12" s="13">
        <v>1310</v>
      </c>
      <c r="V12" s="13">
        <v>1114</v>
      </c>
      <c r="W12" s="13">
        <v>2988</v>
      </c>
      <c r="X12" s="13">
        <v>3902</v>
      </c>
      <c r="Y12" s="13">
        <v>316</v>
      </c>
      <c r="Z12" s="13">
        <v>2405</v>
      </c>
      <c r="AA12" s="13">
        <v>1885</v>
      </c>
      <c r="AB12" s="13">
        <v>2549</v>
      </c>
      <c r="AC12" s="13">
        <v>2975</v>
      </c>
      <c r="AD12" s="13">
        <v>1975</v>
      </c>
      <c r="AE12" s="13">
        <v>3655</v>
      </c>
      <c r="AF12" s="13">
        <v>1239</v>
      </c>
      <c r="AG12" s="13">
        <v>609</v>
      </c>
      <c r="AH12" s="13">
        <v>4068</v>
      </c>
      <c r="AI12" s="13">
        <v>14038</v>
      </c>
      <c r="AJ12" s="13">
        <v>1413</v>
      </c>
      <c r="AK12" s="13">
        <v>17714</v>
      </c>
      <c r="AL12" s="13">
        <v>5984</v>
      </c>
      <c r="AM12" s="13">
        <v>7545</v>
      </c>
      <c r="AN12" s="13">
        <v>591</v>
      </c>
      <c r="AO12" s="13">
        <v>3539</v>
      </c>
      <c r="AP12" s="13">
        <v>6129</v>
      </c>
      <c r="AQ12" s="13">
        <v>1299</v>
      </c>
      <c r="AR12" s="13">
        <v>5853</v>
      </c>
      <c r="AS12" s="13">
        <v>1499</v>
      </c>
      <c r="AT12" s="13">
        <v>3721</v>
      </c>
      <c r="AU12" s="13">
        <v>819</v>
      </c>
      <c r="AV12" s="13">
        <v>9939</v>
      </c>
      <c r="AW12" s="13">
        <v>3307</v>
      </c>
      <c r="AX12" s="13">
        <v>964</v>
      </c>
      <c r="AY12" s="13">
        <v>2115</v>
      </c>
      <c r="AZ12" s="13">
        <v>166</v>
      </c>
      <c r="BA12" s="13">
        <v>4021</v>
      </c>
      <c r="BB12" s="13">
        <v>3307</v>
      </c>
      <c r="BC12" s="13">
        <v>3428</v>
      </c>
      <c r="BD12" s="13">
        <v>301</v>
      </c>
      <c r="BE12" s="13">
        <v>942</v>
      </c>
      <c r="BF12" s="13">
        <v>3012</v>
      </c>
      <c r="BG12" s="13">
        <v>498</v>
      </c>
      <c r="BH12" s="13">
        <v>4905</v>
      </c>
      <c r="BI12" s="13">
        <v>4403</v>
      </c>
      <c r="BJ12" s="13">
        <v>559</v>
      </c>
      <c r="BK12" s="13">
        <v>14078</v>
      </c>
      <c r="BL12" s="13">
        <v>4232</v>
      </c>
      <c r="BM12" s="13">
        <v>1119</v>
      </c>
      <c r="BN12" s="13">
        <v>5247</v>
      </c>
      <c r="BO12" s="13">
        <v>4089</v>
      </c>
      <c r="BP12" s="13">
        <v>10770</v>
      </c>
      <c r="BQ12" s="13">
        <v>1649</v>
      </c>
      <c r="BR12" s="13">
        <v>2037</v>
      </c>
      <c r="BS12" s="13">
        <v>5865</v>
      </c>
      <c r="BT12" s="13">
        <v>3261</v>
      </c>
      <c r="BU12" s="13">
        <v>13711</v>
      </c>
      <c r="BV12" s="13">
        <v>469</v>
      </c>
      <c r="BW12" s="13">
        <v>1880</v>
      </c>
      <c r="BX12" s="13">
        <v>2236</v>
      </c>
      <c r="BY12" s="13">
        <v>2817</v>
      </c>
      <c r="BZ12" s="13">
        <v>8102</v>
      </c>
      <c r="CA12" s="13">
        <v>23298</v>
      </c>
      <c r="CB12" s="13">
        <v>6981</v>
      </c>
      <c r="CC12" s="13">
        <v>7191</v>
      </c>
      <c r="CD12" s="13">
        <v>19797</v>
      </c>
      <c r="CE12" s="13">
        <v>1517</v>
      </c>
      <c r="CF12" s="13">
        <v>1838</v>
      </c>
      <c r="CG12" s="13">
        <v>2489</v>
      </c>
      <c r="CH12" s="13">
        <v>1284</v>
      </c>
      <c r="CI12" s="13">
        <v>10737</v>
      </c>
      <c r="CJ12" s="13">
        <v>3532</v>
      </c>
      <c r="CK12" s="13">
        <v>3575</v>
      </c>
      <c r="CL12" s="13">
        <v>1895</v>
      </c>
      <c r="CM12" s="13">
        <v>1970</v>
      </c>
      <c r="CN12" s="13">
        <v>1123</v>
      </c>
      <c r="CO12" s="13">
        <v>1105</v>
      </c>
      <c r="CP12" s="13">
        <v>507</v>
      </c>
      <c r="CQ12" s="13">
        <v>7682</v>
      </c>
      <c r="CR12" s="13">
        <v>22300</v>
      </c>
      <c r="CS12" s="13">
        <v>2583</v>
      </c>
      <c r="CT12" s="13">
        <v>6928</v>
      </c>
      <c r="CU12" s="13">
        <v>6858</v>
      </c>
      <c r="CV12" s="14">
        <v>415556</v>
      </c>
      <c r="CW12" s="13">
        <v>701</v>
      </c>
      <c r="CX12" s="13">
        <v>514</v>
      </c>
      <c r="CY12" s="13">
        <v>217</v>
      </c>
      <c r="CZ12" s="13">
        <v>3162</v>
      </c>
      <c r="DA12" s="13">
        <v>68</v>
      </c>
      <c r="DB12" s="14">
        <v>4662</v>
      </c>
      <c r="DC12" s="14">
        <v>420218</v>
      </c>
      <c r="DD12" s="13">
        <v>1</v>
      </c>
      <c r="DE12" s="13">
        <v>30</v>
      </c>
      <c r="DF12" s="13">
        <v>72</v>
      </c>
      <c r="DG12" s="13">
        <v>1</v>
      </c>
      <c r="DH12" s="13">
        <v>897</v>
      </c>
      <c r="DI12" s="13">
        <v>1269</v>
      </c>
      <c r="DJ12" s="14">
        <v>2270</v>
      </c>
      <c r="DK12" s="13">
        <v>1184</v>
      </c>
      <c r="DL12" s="13">
        <v>18864</v>
      </c>
      <c r="DM12" s="13">
        <v>0</v>
      </c>
      <c r="DN12" s="14">
        <v>442536</v>
      </c>
    </row>
    <row r="13" spans="1:1026" x14ac:dyDescent="0.2">
      <c r="A13" s="10"/>
      <c r="B13" s="11" t="s">
        <v>342</v>
      </c>
      <c r="C13" s="12" t="s">
        <v>343</v>
      </c>
      <c r="D13" s="13">
        <v>6496</v>
      </c>
      <c r="E13" s="13">
        <v>1688</v>
      </c>
      <c r="F13" s="13">
        <v>2573</v>
      </c>
      <c r="G13" s="13">
        <v>929</v>
      </c>
      <c r="H13" s="13">
        <v>817</v>
      </c>
      <c r="I13" s="13">
        <v>3606</v>
      </c>
      <c r="J13" s="13">
        <v>4470</v>
      </c>
      <c r="K13" s="13">
        <v>538</v>
      </c>
      <c r="L13" s="13">
        <v>3677</v>
      </c>
      <c r="M13" s="13">
        <v>788</v>
      </c>
      <c r="N13" s="13">
        <v>6962</v>
      </c>
      <c r="O13" s="13">
        <v>3985</v>
      </c>
      <c r="P13" s="13">
        <v>10754</v>
      </c>
      <c r="Q13" s="13">
        <v>1806</v>
      </c>
      <c r="R13" s="13">
        <v>3226</v>
      </c>
      <c r="S13" s="13">
        <v>2975</v>
      </c>
      <c r="T13" s="13">
        <v>5798</v>
      </c>
      <c r="U13" s="13">
        <v>2221</v>
      </c>
      <c r="V13" s="13">
        <v>5569</v>
      </c>
      <c r="W13" s="13">
        <v>3444</v>
      </c>
      <c r="X13" s="13">
        <v>1940</v>
      </c>
      <c r="Y13" s="13">
        <v>515</v>
      </c>
      <c r="Z13" s="13">
        <v>6070</v>
      </c>
      <c r="AA13" s="13">
        <v>1775</v>
      </c>
      <c r="AB13" s="13">
        <v>7182</v>
      </c>
      <c r="AC13" s="13">
        <v>2401</v>
      </c>
      <c r="AD13" s="13">
        <v>1977</v>
      </c>
      <c r="AE13" s="13">
        <v>4920</v>
      </c>
      <c r="AF13" s="13">
        <v>792</v>
      </c>
      <c r="AG13" s="13">
        <v>916</v>
      </c>
      <c r="AH13" s="13">
        <v>5294</v>
      </c>
      <c r="AI13" s="13">
        <v>21749</v>
      </c>
      <c r="AJ13" s="13">
        <v>6157</v>
      </c>
      <c r="AK13" s="13">
        <v>18260</v>
      </c>
      <c r="AL13" s="13">
        <v>11754</v>
      </c>
      <c r="AM13" s="13">
        <v>3626</v>
      </c>
      <c r="AN13" s="13">
        <v>1318</v>
      </c>
      <c r="AO13" s="13">
        <v>3224</v>
      </c>
      <c r="AP13" s="13">
        <v>16094</v>
      </c>
      <c r="AQ13" s="13">
        <v>2315</v>
      </c>
      <c r="AR13" s="13">
        <v>10733</v>
      </c>
      <c r="AS13" s="13">
        <v>1870</v>
      </c>
      <c r="AT13" s="13">
        <v>2619</v>
      </c>
      <c r="AU13" s="13">
        <v>1715</v>
      </c>
      <c r="AV13" s="13">
        <v>6173</v>
      </c>
      <c r="AW13" s="13">
        <v>3217</v>
      </c>
      <c r="AX13" s="13">
        <v>3829</v>
      </c>
      <c r="AY13" s="13">
        <v>7553</v>
      </c>
      <c r="AZ13" s="13">
        <v>683</v>
      </c>
      <c r="BA13" s="13">
        <v>2770</v>
      </c>
      <c r="BB13" s="13">
        <v>1637</v>
      </c>
      <c r="BC13" s="13">
        <v>1443</v>
      </c>
      <c r="BD13" s="13">
        <v>421</v>
      </c>
      <c r="BE13" s="13">
        <v>608</v>
      </c>
      <c r="BF13" s="13">
        <v>1931</v>
      </c>
      <c r="BG13" s="13">
        <v>555</v>
      </c>
      <c r="BH13" s="13">
        <v>4194</v>
      </c>
      <c r="BI13" s="13">
        <v>1686</v>
      </c>
      <c r="BJ13" s="13">
        <v>1369</v>
      </c>
      <c r="BK13" s="13">
        <v>6929</v>
      </c>
      <c r="BL13" s="13">
        <v>2718</v>
      </c>
      <c r="BM13" s="13">
        <v>721</v>
      </c>
      <c r="BN13" s="13">
        <v>2383</v>
      </c>
      <c r="BO13" s="13">
        <v>8202</v>
      </c>
      <c r="BP13" s="13">
        <v>17462</v>
      </c>
      <c r="BQ13" s="13">
        <v>6233</v>
      </c>
      <c r="BR13" s="13">
        <v>7090</v>
      </c>
      <c r="BS13" s="13">
        <v>2757</v>
      </c>
      <c r="BT13" s="13">
        <v>1681</v>
      </c>
      <c r="BU13" s="13">
        <v>9387</v>
      </c>
      <c r="BV13" s="13">
        <v>479</v>
      </c>
      <c r="BW13" s="13">
        <v>5166</v>
      </c>
      <c r="BX13" s="13">
        <v>997</v>
      </c>
      <c r="BY13" s="13">
        <v>3179</v>
      </c>
      <c r="BZ13" s="13">
        <v>4345</v>
      </c>
      <c r="CA13" s="13">
        <v>5142</v>
      </c>
      <c r="CB13" s="13">
        <v>4336</v>
      </c>
      <c r="CC13" s="13">
        <v>5110</v>
      </c>
      <c r="CD13" s="13">
        <v>8030</v>
      </c>
      <c r="CE13" s="13">
        <v>2250</v>
      </c>
      <c r="CF13" s="13">
        <v>981</v>
      </c>
      <c r="CG13" s="13">
        <v>8283</v>
      </c>
      <c r="CH13" s="13">
        <v>5440</v>
      </c>
      <c r="CI13" s="13">
        <v>8856</v>
      </c>
      <c r="CJ13" s="13">
        <v>4467</v>
      </c>
      <c r="CK13" s="13">
        <v>2589</v>
      </c>
      <c r="CL13" s="13">
        <v>1888</v>
      </c>
      <c r="CM13" s="13">
        <v>3152</v>
      </c>
      <c r="CN13" s="13">
        <v>759</v>
      </c>
      <c r="CO13" s="13">
        <v>1530</v>
      </c>
      <c r="CP13" s="13">
        <v>232</v>
      </c>
      <c r="CQ13" s="13">
        <v>6515</v>
      </c>
      <c r="CR13" s="13">
        <v>8502</v>
      </c>
      <c r="CS13" s="13">
        <v>4310</v>
      </c>
      <c r="CT13" s="13">
        <v>4184</v>
      </c>
      <c r="CU13" s="13">
        <v>3292</v>
      </c>
      <c r="CV13" s="14">
        <v>415184</v>
      </c>
      <c r="CW13" s="13">
        <v>1284</v>
      </c>
      <c r="CX13" s="13">
        <v>967</v>
      </c>
      <c r="CY13" s="13">
        <v>1159</v>
      </c>
      <c r="CZ13" s="13">
        <v>3128</v>
      </c>
      <c r="DA13" s="13">
        <v>882</v>
      </c>
      <c r="DB13" s="14">
        <v>7420</v>
      </c>
      <c r="DC13" s="14">
        <v>422604</v>
      </c>
      <c r="DD13" s="13">
        <v>48</v>
      </c>
      <c r="DE13" s="13">
        <v>145</v>
      </c>
      <c r="DF13" s="13">
        <v>185</v>
      </c>
      <c r="DG13" s="13">
        <v>365</v>
      </c>
      <c r="DH13" s="13">
        <v>3</v>
      </c>
      <c r="DI13" s="13">
        <v>360</v>
      </c>
      <c r="DJ13" s="14">
        <v>1106</v>
      </c>
      <c r="DK13" s="13">
        <v>91</v>
      </c>
      <c r="DL13" s="13">
        <v>492</v>
      </c>
      <c r="DM13" s="13">
        <v>0</v>
      </c>
      <c r="DN13" s="14">
        <v>424293</v>
      </c>
    </row>
    <row r="14" spans="1:1026" x14ac:dyDescent="0.2">
      <c r="A14" s="10"/>
      <c r="B14" s="11" t="s">
        <v>344</v>
      </c>
      <c r="C14" s="12" t="s">
        <v>345</v>
      </c>
      <c r="D14" s="13">
        <v>3258</v>
      </c>
      <c r="E14" s="13">
        <v>2143</v>
      </c>
      <c r="F14" s="13">
        <v>2110</v>
      </c>
      <c r="G14" s="13">
        <v>756</v>
      </c>
      <c r="H14" s="13">
        <v>1832</v>
      </c>
      <c r="I14" s="13">
        <v>11680</v>
      </c>
      <c r="J14" s="13">
        <v>1918</v>
      </c>
      <c r="K14" s="13">
        <v>2157</v>
      </c>
      <c r="L14" s="13">
        <v>887</v>
      </c>
      <c r="M14" s="13">
        <v>806</v>
      </c>
      <c r="N14" s="13">
        <v>989</v>
      </c>
      <c r="O14" s="13">
        <v>1506</v>
      </c>
      <c r="P14" s="13">
        <v>18858</v>
      </c>
      <c r="Q14" s="13">
        <v>3742</v>
      </c>
      <c r="R14" s="13">
        <v>399</v>
      </c>
      <c r="S14" s="13">
        <v>1509</v>
      </c>
      <c r="T14" s="13">
        <v>2293</v>
      </c>
      <c r="U14" s="13">
        <v>1858</v>
      </c>
      <c r="V14" s="13">
        <v>774</v>
      </c>
      <c r="W14" s="13">
        <v>3672</v>
      </c>
      <c r="X14" s="13">
        <v>2609</v>
      </c>
      <c r="Y14" s="13">
        <v>393</v>
      </c>
      <c r="Z14" s="13">
        <v>1217</v>
      </c>
      <c r="AA14" s="13">
        <v>2453</v>
      </c>
      <c r="AB14" s="13">
        <v>2492</v>
      </c>
      <c r="AC14" s="13">
        <v>3396</v>
      </c>
      <c r="AD14" s="13">
        <v>1460</v>
      </c>
      <c r="AE14" s="13">
        <v>3371</v>
      </c>
      <c r="AF14" s="13">
        <v>529</v>
      </c>
      <c r="AG14" s="13">
        <v>1800</v>
      </c>
      <c r="AH14" s="13">
        <v>3156</v>
      </c>
      <c r="AI14" s="13">
        <v>10218</v>
      </c>
      <c r="AJ14" s="13">
        <v>802</v>
      </c>
      <c r="AK14" s="13">
        <v>7720</v>
      </c>
      <c r="AL14" s="13">
        <v>5848</v>
      </c>
      <c r="AM14" s="13">
        <v>4272</v>
      </c>
      <c r="AN14" s="13">
        <v>1038</v>
      </c>
      <c r="AO14" s="13">
        <v>3134</v>
      </c>
      <c r="AP14" s="13">
        <v>9940</v>
      </c>
      <c r="AQ14" s="13">
        <v>1465</v>
      </c>
      <c r="AR14" s="13">
        <v>1828</v>
      </c>
      <c r="AS14" s="13">
        <v>2119</v>
      </c>
      <c r="AT14" s="13">
        <v>3652</v>
      </c>
      <c r="AU14" s="13">
        <v>1426</v>
      </c>
      <c r="AV14" s="13">
        <v>8444</v>
      </c>
      <c r="AW14" s="13">
        <v>3007</v>
      </c>
      <c r="AX14" s="13">
        <v>1325</v>
      </c>
      <c r="AY14" s="13">
        <v>1048</v>
      </c>
      <c r="AZ14" s="13">
        <v>133</v>
      </c>
      <c r="BA14" s="13">
        <v>4103</v>
      </c>
      <c r="BB14" s="13">
        <v>2808</v>
      </c>
      <c r="BC14" s="13">
        <v>2289</v>
      </c>
      <c r="BD14" s="13">
        <v>580</v>
      </c>
      <c r="BE14" s="13">
        <v>1279</v>
      </c>
      <c r="BF14" s="13">
        <v>2859</v>
      </c>
      <c r="BG14" s="13">
        <v>783</v>
      </c>
      <c r="BH14" s="13">
        <v>2741</v>
      </c>
      <c r="BI14" s="13">
        <v>5621</v>
      </c>
      <c r="BJ14" s="13">
        <v>1243</v>
      </c>
      <c r="BK14" s="13">
        <v>9825</v>
      </c>
      <c r="BL14" s="13">
        <v>4302</v>
      </c>
      <c r="BM14" s="13">
        <v>815</v>
      </c>
      <c r="BN14" s="13">
        <v>6764</v>
      </c>
      <c r="BO14" s="13">
        <v>4782</v>
      </c>
      <c r="BP14" s="13">
        <v>4780</v>
      </c>
      <c r="BQ14" s="13">
        <v>1227</v>
      </c>
      <c r="BR14" s="13">
        <v>2696</v>
      </c>
      <c r="BS14" s="13">
        <v>8990</v>
      </c>
      <c r="BT14" s="13">
        <v>4761</v>
      </c>
      <c r="BU14" s="13">
        <v>15786</v>
      </c>
      <c r="BV14" s="13">
        <v>821</v>
      </c>
      <c r="BW14" s="13">
        <v>3968</v>
      </c>
      <c r="BX14" s="13">
        <v>2164</v>
      </c>
      <c r="BY14" s="13">
        <v>2227</v>
      </c>
      <c r="BZ14" s="13">
        <v>5292</v>
      </c>
      <c r="CA14" s="13">
        <v>7691</v>
      </c>
      <c r="CB14" s="13">
        <v>5664</v>
      </c>
      <c r="CC14" s="13">
        <v>8758</v>
      </c>
      <c r="CD14" s="13">
        <v>12499</v>
      </c>
      <c r="CE14" s="13">
        <v>1515</v>
      </c>
      <c r="CF14" s="13">
        <v>2130</v>
      </c>
      <c r="CG14" s="13">
        <v>1945</v>
      </c>
      <c r="CH14" s="13">
        <v>926</v>
      </c>
      <c r="CI14" s="13">
        <v>12776</v>
      </c>
      <c r="CJ14" s="13">
        <v>3405</v>
      </c>
      <c r="CK14" s="13">
        <v>2290</v>
      </c>
      <c r="CL14" s="13">
        <v>4185</v>
      </c>
      <c r="CM14" s="13">
        <v>1618</v>
      </c>
      <c r="CN14" s="13">
        <v>1309</v>
      </c>
      <c r="CO14" s="13">
        <v>2911</v>
      </c>
      <c r="CP14" s="13">
        <v>843</v>
      </c>
      <c r="CQ14" s="13">
        <v>12070</v>
      </c>
      <c r="CR14" s="13">
        <v>12265</v>
      </c>
      <c r="CS14" s="13">
        <v>7725</v>
      </c>
      <c r="CT14" s="13">
        <v>11626</v>
      </c>
      <c r="CU14" s="13">
        <v>9974</v>
      </c>
      <c r="CV14" s="14">
        <v>381073</v>
      </c>
      <c r="CW14" s="13">
        <v>1668</v>
      </c>
      <c r="CX14" s="13">
        <v>2132</v>
      </c>
      <c r="CY14" s="13">
        <v>2708</v>
      </c>
      <c r="CZ14" s="13">
        <v>6739</v>
      </c>
      <c r="DA14" s="13">
        <v>14</v>
      </c>
      <c r="DB14" s="14">
        <v>13261</v>
      </c>
      <c r="DC14" s="14">
        <v>394334</v>
      </c>
      <c r="DD14" s="13">
        <v>86</v>
      </c>
      <c r="DE14" s="13">
        <v>13</v>
      </c>
      <c r="DF14" s="13">
        <v>202</v>
      </c>
      <c r="DG14" s="13">
        <v>0</v>
      </c>
      <c r="DH14" s="13">
        <v>3399</v>
      </c>
      <c r="DI14" s="13">
        <v>3762</v>
      </c>
      <c r="DJ14" s="14">
        <v>7462</v>
      </c>
      <c r="DK14" s="13">
        <v>139</v>
      </c>
      <c r="DL14" s="13">
        <v>436</v>
      </c>
      <c r="DM14" s="13">
        <v>0</v>
      </c>
      <c r="DN14" s="14">
        <v>402371</v>
      </c>
    </row>
    <row r="15" spans="1:1026" x14ac:dyDescent="0.2">
      <c r="A15" s="10"/>
      <c r="B15" s="11" t="s">
        <v>346</v>
      </c>
      <c r="C15" s="12" t="s">
        <v>347</v>
      </c>
      <c r="D15" s="13">
        <v>6636</v>
      </c>
      <c r="E15" s="13">
        <v>2903</v>
      </c>
      <c r="F15" s="13">
        <v>2118</v>
      </c>
      <c r="G15" s="13">
        <v>738</v>
      </c>
      <c r="H15" s="13">
        <v>1034</v>
      </c>
      <c r="I15" s="13">
        <v>6695</v>
      </c>
      <c r="J15" s="13">
        <v>1639</v>
      </c>
      <c r="K15" s="13">
        <v>1785</v>
      </c>
      <c r="L15" s="13">
        <v>754</v>
      </c>
      <c r="M15" s="13">
        <v>1127</v>
      </c>
      <c r="N15" s="13">
        <v>1459</v>
      </c>
      <c r="O15" s="13">
        <v>1230</v>
      </c>
      <c r="P15" s="13">
        <v>7848</v>
      </c>
      <c r="Q15" s="13">
        <v>4254</v>
      </c>
      <c r="R15" s="13">
        <v>119</v>
      </c>
      <c r="S15" s="13">
        <v>1497</v>
      </c>
      <c r="T15" s="13">
        <v>2853</v>
      </c>
      <c r="U15" s="13">
        <v>2676</v>
      </c>
      <c r="V15" s="13">
        <v>953</v>
      </c>
      <c r="W15" s="13">
        <v>2712</v>
      </c>
      <c r="X15" s="13">
        <v>2837</v>
      </c>
      <c r="Y15" s="13">
        <v>22</v>
      </c>
      <c r="Z15" s="13">
        <v>1327</v>
      </c>
      <c r="AA15" s="13">
        <v>2854</v>
      </c>
      <c r="AB15" s="13">
        <v>2283</v>
      </c>
      <c r="AC15" s="13">
        <v>4591</v>
      </c>
      <c r="AD15" s="13">
        <v>1747</v>
      </c>
      <c r="AE15" s="13">
        <v>3110</v>
      </c>
      <c r="AF15" s="13">
        <v>900</v>
      </c>
      <c r="AG15" s="13">
        <v>916</v>
      </c>
      <c r="AH15" s="13">
        <v>1824</v>
      </c>
      <c r="AI15" s="13">
        <v>6532</v>
      </c>
      <c r="AJ15" s="13">
        <v>980</v>
      </c>
      <c r="AK15" s="13">
        <v>9394</v>
      </c>
      <c r="AL15" s="13">
        <v>4136</v>
      </c>
      <c r="AM15" s="13">
        <v>5591</v>
      </c>
      <c r="AN15" s="13">
        <v>676</v>
      </c>
      <c r="AO15" s="13">
        <v>2428</v>
      </c>
      <c r="AP15" s="13">
        <v>3236</v>
      </c>
      <c r="AQ15" s="13">
        <v>1404</v>
      </c>
      <c r="AR15" s="13">
        <v>1241</v>
      </c>
      <c r="AS15" s="13">
        <v>1873</v>
      </c>
      <c r="AT15" s="13">
        <v>2550</v>
      </c>
      <c r="AU15" s="13">
        <v>1268</v>
      </c>
      <c r="AV15" s="13">
        <v>5131</v>
      </c>
      <c r="AW15" s="13">
        <v>4620</v>
      </c>
      <c r="AX15" s="13">
        <v>1020</v>
      </c>
      <c r="AY15" s="13">
        <v>1829</v>
      </c>
      <c r="AZ15" s="13">
        <v>3</v>
      </c>
      <c r="BA15" s="13">
        <v>4771</v>
      </c>
      <c r="BB15" s="13">
        <v>3456</v>
      </c>
      <c r="BC15" s="13">
        <v>2788</v>
      </c>
      <c r="BD15" s="13">
        <v>1304</v>
      </c>
      <c r="BE15" s="13">
        <v>1494</v>
      </c>
      <c r="BF15" s="13">
        <v>4895</v>
      </c>
      <c r="BG15" s="13">
        <v>250</v>
      </c>
      <c r="BH15" s="13">
        <v>2147</v>
      </c>
      <c r="BI15" s="13">
        <v>7913</v>
      </c>
      <c r="BJ15" s="13">
        <v>1407</v>
      </c>
      <c r="BK15" s="13">
        <v>10117</v>
      </c>
      <c r="BL15" s="13">
        <v>4260</v>
      </c>
      <c r="BM15" s="13">
        <v>879</v>
      </c>
      <c r="BN15" s="13">
        <v>4425</v>
      </c>
      <c r="BO15" s="13">
        <v>2756</v>
      </c>
      <c r="BP15" s="13">
        <v>2389</v>
      </c>
      <c r="BQ15" s="13">
        <v>473</v>
      </c>
      <c r="BR15" s="13">
        <v>1230</v>
      </c>
      <c r="BS15" s="13">
        <v>9370</v>
      </c>
      <c r="BT15" s="13">
        <v>6819</v>
      </c>
      <c r="BU15" s="13">
        <v>11439</v>
      </c>
      <c r="BV15" s="13">
        <v>1451</v>
      </c>
      <c r="BW15" s="13">
        <v>3742</v>
      </c>
      <c r="BX15" s="13">
        <v>3700</v>
      </c>
      <c r="BY15" s="13">
        <v>1678</v>
      </c>
      <c r="BZ15" s="13">
        <v>4268</v>
      </c>
      <c r="CA15" s="13">
        <v>3807</v>
      </c>
      <c r="CB15" s="13">
        <v>10881</v>
      </c>
      <c r="CC15" s="13">
        <v>9000</v>
      </c>
      <c r="CD15" s="13">
        <v>9272</v>
      </c>
      <c r="CE15" s="13">
        <v>4365</v>
      </c>
      <c r="CF15" s="13">
        <v>1527</v>
      </c>
      <c r="CG15" s="13">
        <v>2023</v>
      </c>
      <c r="CH15" s="13">
        <v>1060</v>
      </c>
      <c r="CI15" s="13">
        <v>5267</v>
      </c>
      <c r="CJ15" s="13">
        <v>3531</v>
      </c>
      <c r="CK15" s="13">
        <v>3921</v>
      </c>
      <c r="CL15" s="13">
        <v>3846</v>
      </c>
      <c r="CM15" s="13">
        <v>1211</v>
      </c>
      <c r="CN15" s="13">
        <v>2364</v>
      </c>
      <c r="CO15" s="13">
        <v>1675</v>
      </c>
      <c r="CP15" s="13">
        <v>1143</v>
      </c>
      <c r="CQ15" s="13">
        <v>6654</v>
      </c>
      <c r="CR15" s="13">
        <v>11134</v>
      </c>
      <c r="CS15" s="13">
        <v>7593</v>
      </c>
      <c r="CT15" s="13">
        <v>9149</v>
      </c>
      <c r="CU15" s="13">
        <v>6139</v>
      </c>
      <c r="CV15" s="14">
        <v>332336</v>
      </c>
      <c r="CW15" s="13">
        <v>1167</v>
      </c>
      <c r="CX15" s="13">
        <v>1547</v>
      </c>
      <c r="CY15" s="13">
        <v>907</v>
      </c>
      <c r="CZ15" s="13">
        <v>4413</v>
      </c>
      <c r="DA15" s="13">
        <v>110</v>
      </c>
      <c r="DB15" s="14">
        <v>8144</v>
      </c>
      <c r="DC15" s="14">
        <v>340480</v>
      </c>
      <c r="DD15" s="13">
        <v>0</v>
      </c>
      <c r="DE15" s="13">
        <v>0</v>
      </c>
      <c r="DF15" s="13">
        <v>64</v>
      </c>
      <c r="DG15" s="13">
        <v>0</v>
      </c>
      <c r="DH15" s="13">
        <v>0</v>
      </c>
      <c r="DI15" s="13">
        <v>965</v>
      </c>
      <c r="DJ15" s="14">
        <v>1029</v>
      </c>
      <c r="DK15" s="13">
        <v>465</v>
      </c>
      <c r="DL15" s="13">
        <v>13</v>
      </c>
      <c r="DM15" s="13">
        <v>0</v>
      </c>
      <c r="DN15" s="14">
        <v>341987</v>
      </c>
    </row>
    <row r="16" spans="1:1026" x14ac:dyDescent="0.2">
      <c r="A16" s="10"/>
      <c r="B16" s="11" t="s">
        <v>348</v>
      </c>
      <c r="C16" s="12" t="s">
        <v>349</v>
      </c>
      <c r="D16" s="13">
        <v>2575</v>
      </c>
      <c r="E16" s="13">
        <v>2531</v>
      </c>
      <c r="F16" s="13">
        <v>1380</v>
      </c>
      <c r="G16" s="13">
        <v>671</v>
      </c>
      <c r="H16" s="13">
        <v>842</v>
      </c>
      <c r="I16" s="13">
        <v>4411</v>
      </c>
      <c r="J16" s="13">
        <v>1135</v>
      </c>
      <c r="K16" s="13">
        <v>2490</v>
      </c>
      <c r="L16" s="13">
        <v>307</v>
      </c>
      <c r="M16" s="13">
        <v>1460</v>
      </c>
      <c r="N16" s="13">
        <v>1335</v>
      </c>
      <c r="O16" s="13">
        <v>1007</v>
      </c>
      <c r="P16" s="13">
        <v>8166</v>
      </c>
      <c r="Q16" s="13">
        <v>3565</v>
      </c>
      <c r="R16" s="13">
        <v>636</v>
      </c>
      <c r="S16" s="13">
        <v>1766</v>
      </c>
      <c r="T16" s="13">
        <v>2973</v>
      </c>
      <c r="U16" s="13">
        <v>1252</v>
      </c>
      <c r="V16" s="13">
        <v>1381</v>
      </c>
      <c r="W16" s="13">
        <v>2537</v>
      </c>
      <c r="X16" s="13">
        <v>3267</v>
      </c>
      <c r="Y16" s="13">
        <v>602</v>
      </c>
      <c r="Z16" s="13">
        <v>1436</v>
      </c>
      <c r="AA16" s="13">
        <v>2145</v>
      </c>
      <c r="AB16" s="13">
        <v>1865</v>
      </c>
      <c r="AC16" s="13">
        <v>3077</v>
      </c>
      <c r="AD16" s="13">
        <v>1908</v>
      </c>
      <c r="AE16" s="13">
        <v>3978</v>
      </c>
      <c r="AF16" s="13">
        <v>773</v>
      </c>
      <c r="AG16" s="13">
        <v>734</v>
      </c>
      <c r="AH16" s="13">
        <v>3575</v>
      </c>
      <c r="AI16" s="13">
        <v>6059</v>
      </c>
      <c r="AJ16" s="13">
        <v>619</v>
      </c>
      <c r="AK16" s="13">
        <v>8328</v>
      </c>
      <c r="AL16" s="13">
        <v>4539</v>
      </c>
      <c r="AM16" s="13">
        <v>7584</v>
      </c>
      <c r="AN16" s="13">
        <v>809</v>
      </c>
      <c r="AO16" s="13">
        <v>2911</v>
      </c>
      <c r="AP16" s="13">
        <v>5556</v>
      </c>
      <c r="AQ16" s="13">
        <v>1267</v>
      </c>
      <c r="AR16" s="13">
        <v>1836</v>
      </c>
      <c r="AS16" s="13">
        <v>2163</v>
      </c>
      <c r="AT16" s="13">
        <v>3351</v>
      </c>
      <c r="AU16" s="13">
        <v>1061</v>
      </c>
      <c r="AV16" s="13">
        <v>9759</v>
      </c>
      <c r="AW16" s="13">
        <v>3391</v>
      </c>
      <c r="AX16" s="13">
        <v>769</v>
      </c>
      <c r="AY16" s="13">
        <v>1315</v>
      </c>
      <c r="AZ16" s="13">
        <v>512</v>
      </c>
      <c r="BA16" s="13">
        <v>5913</v>
      </c>
      <c r="BB16" s="13">
        <v>2841</v>
      </c>
      <c r="BC16" s="13">
        <v>2503</v>
      </c>
      <c r="BD16" s="13">
        <v>696</v>
      </c>
      <c r="BE16" s="13">
        <v>2442</v>
      </c>
      <c r="BF16" s="13">
        <v>3095</v>
      </c>
      <c r="BG16" s="13">
        <v>604</v>
      </c>
      <c r="BH16" s="13">
        <v>4638</v>
      </c>
      <c r="BI16" s="13">
        <v>3642</v>
      </c>
      <c r="BJ16" s="13">
        <v>737</v>
      </c>
      <c r="BK16" s="13">
        <v>9908</v>
      </c>
      <c r="BL16" s="13">
        <v>4314</v>
      </c>
      <c r="BM16" s="13">
        <v>822</v>
      </c>
      <c r="BN16" s="13">
        <v>6494</v>
      </c>
      <c r="BO16" s="13">
        <v>3422</v>
      </c>
      <c r="BP16" s="13">
        <v>3600</v>
      </c>
      <c r="BQ16" s="13">
        <v>1449</v>
      </c>
      <c r="BR16" s="13">
        <v>1356</v>
      </c>
      <c r="BS16" s="13">
        <v>4242</v>
      </c>
      <c r="BT16" s="13">
        <v>3001</v>
      </c>
      <c r="BU16" s="13">
        <v>6638</v>
      </c>
      <c r="BV16" s="13">
        <v>594</v>
      </c>
      <c r="BW16" s="13">
        <v>1928</v>
      </c>
      <c r="BX16" s="13">
        <v>3598</v>
      </c>
      <c r="BY16" s="13">
        <v>2164</v>
      </c>
      <c r="BZ16" s="13">
        <v>3919</v>
      </c>
      <c r="CA16" s="13">
        <v>4063</v>
      </c>
      <c r="CB16" s="13">
        <v>5826</v>
      </c>
      <c r="CC16" s="13">
        <v>7415</v>
      </c>
      <c r="CD16" s="13">
        <v>8482</v>
      </c>
      <c r="CE16" s="13">
        <v>1462</v>
      </c>
      <c r="CF16" s="13">
        <v>3153</v>
      </c>
      <c r="CG16" s="13">
        <v>2371</v>
      </c>
      <c r="CH16" s="13">
        <v>840</v>
      </c>
      <c r="CI16" s="13">
        <v>5422</v>
      </c>
      <c r="CJ16" s="13">
        <v>2431</v>
      </c>
      <c r="CK16" s="13">
        <v>4072</v>
      </c>
      <c r="CL16" s="13">
        <v>1503</v>
      </c>
      <c r="CM16" s="13">
        <v>2331</v>
      </c>
      <c r="CN16" s="13">
        <v>2423</v>
      </c>
      <c r="CO16" s="13">
        <v>1402</v>
      </c>
      <c r="CP16" s="13">
        <v>573</v>
      </c>
      <c r="CQ16" s="13">
        <v>7397</v>
      </c>
      <c r="CR16" s="13">
        <v>8537</v>
      </c>
      <c r="CS16" s="13">
        <v>3844</v>
      </c>
      <c r="CT16" s="13">
        <v>6702</v>
      </c>
      <c r="CU16" s="13">
        <v>6051</v>
      </c>
      <c r="CV16" s="14">
        <v>298469</v>
      </c>
      <c r="CW16" s="13">
        <v>2690</v>
      </c>
      <c r="CX16" s="13">
        <v>2723</v>
      </c>
      <c r="CY16" s="13">
        <v>684</v>
      </c>
      <c r="CZ16" s="13">
        <v>5637</v>
      </c>
      <c r="DA16" s="13">
        <v>277</v>
      </c>
      <c r="DB16" s="14">
        <v>12011</v>
      </c>
      <c r="DC16" s="14">
        <v>310480</v>
      </c>
      <c r="DD16" s="13">
        <v>97</v>
      </c>
      <c r="DE16" s="13">
        <v>17</v>
      </c>
      <c r="DF16" s="13">
        <v>212</v>
      </c>
      <c r="DG16" s="13">
        <v>117</v>
      </c>
      <c r="DH16" s="13">
        <v>128</v>
      </c>
      <c r="DI16" s="13">
        <v>883</v>
      </c>
      <c r="DJ16" s="14">
        <v>1454</v>
      </c>
      <c r="DK16" s="13">
        <v>89</v>
      </c>
      <c r="DL16" s="13">
        <v>1934</v>
      </c>
      <c r="DM16" s="13">
        <v>0</v>
      </c>
      <c r="DN16" s="14">
        <v>313957</v>
      </c>
    </row>
    <row r="17" spans="1:118" x14ac:dyDescent="0.2">
      <c r="A17" s="10"/>
      <c r="B17" s="11" t="s">
        <v>350</v>
      </c>
      <c r="C17" s="12" t="s">
        <v>351</v>
      </c>
      <c r="D17" s="13">
        <v>1370</v>
      </c>
      <c r="E17" s="13">
        <v>623</v>
      </c>
      <c r="F17" s="13">
        <v>395</v>
      </c>
      <c r="G17" s="13">
        <v>704</v>
      </c>
      <c r="H17" s="13">
        <v>902</v>
      </c>
      <c r="I17" s="13">
        <v>10966</v>
      </c>
      <c r="J17" s="13">
        <v>528</v>
      </c>
      <c r="K17" s="13">
        <v>368</v>
      </c>
      <c r="L17" s="13">
        <v>261</v>
      </c>
      <c r="M17" s="13">
        <v>539</v>
      </c>
      <c r="N17" s="13">
        <v>1760</v>
      </c>
      <c r="O17" s="13">
        <v>318</v>
      </c>
      <c r="P17" s="13">
        <v>16544</v>
      </c>
      <c r="Q17" s="13">
        <v>5703</v>
      </c>
      <c r="R17" s="13">
        <v>197</v>
      </c>
      <c r="S17" s="13">
        <v>484</v>
      </c>
      <c r="T17" s="13">
        <v>10206</v>
      </c>
      <c r="U17" s="13">
        <v>403</v>
      </c>
      <c r="V17" s="13">
        <v>185</v>
      </c>
      <c r="W17" s="13">
        <v>1418</v>
      </c>
      <c r="X17" s="13">
        <v>11154</v>
      </c>
      <c r="Y17" s="13">
        <v>126</v>
      </c>
      <c r="Z17" s="13">
        <v>263</v>
      </c>
      <c r="AA17" s="13">
        <v>1001</v>
      </c>
      <c r="AB17" s="13">
        <v>1134</v>
      </c>
      <c r="AC17" s="13">
        <v>1636</v>
      </c>
      <c r="AD17" s="13">
        <v>809</v>
      </c>
      <c r="AE17" s="13">
        <v>11704</v>
      </c>
      <c r="AF17" s="13">
        <v>1940</v>
      </c>
      <c r="AG17" s="13">
        <v>927</v>
      </c>
      <c r="AH17" s="13">
        <v>1290</v>
      </c>
      <c r="AI17" s="13">
        <v>4339</v>
      </c>
      <c r="AJ17" s="13">
        <v>248</v>
      </c>
      <c r="AK17" s="13">
        <v>10031</v>
      </c>
      <c r="AL17" s="13">
        <v>6909</v>
      </c>
      <c r="AM17" s="13">
        <v>10870</v>
      </c>
      <c r="AN17" s="13">
        <v>145</v>
      </c>
      <c r="AO17" s="13">
        <v>1643</v>
      </c>
      <c r="AP17" s="13">
        <v>4132</v>
      </c>
      <c r="AQ17" s="13">
        <v>264</v>
      </c>
      <c r="AR17" s="13">
        <v>1202</v>
      </c>
      <c r="AS17" s="13">
        <v>959</v>
      </c>
      <c r="AT17" s="13">
        <v>872</v>
      </c>
      <c r="AU17" s="13">
        <v>223</v>
      </c>
      <c r="AV17" s="13">
        <v>13815</v>
      </c>
      <c r="AW17" s="13">
        <v>1952</v>
      </c>
      <c r="AX17" s="13">
        <v>149</v>
      </c>
      <c r="AY17" s="13">
        <v>229</v>
      </c>
      <c r="AZ17" s="13">
        <v>127</v>
      </c>
      <c r="BA17" s="13">
        <v>2275</v>
      </c>
      <c r="BB17" s="13">
        <v>6053</v>
      </c>
      <c r="BC17" s="13">
        <v>928</v>
      </c>
      <c r="BD17" s="13">
        <v>191</v>
      </c>
      <c r="BE17" s="13">
        <v>494</v>
      </c>
      <c r="BF17" s="13">
        <v>885</v>
      </c>
      <c r="BG17" s="13">
        <v>125</v>
      </c>
      <c r="BH17" s="13">
        <v>12214</v>
      </c>
      <c r="BI17" s="13">
        <v>1026</v>
      </c>
      <c r="BJ17" s="13">
        <v>298</v>
      </c>
      <c r="BK17" s="13">
        <v>6074</v>
      </c>
      <c r="BL17" s="13">
        <v>1242</v>
      </c>
      <c r="BM17" s="13">
        <v>321</v>
      </c>
      <c r="BN17" s="13">
        <v>3182</v>
      </c>
      <c r="BO17" s="13">
        <v>1117</v>
      </c>
      <c r="BP17" s="13">
        <v>2380</v>
      </c>
      <c r="BQ17" s="13">
        <v>230</v>
      </c>
      <c r="BR17" s="13">
        <v>1391</v>
      </c>
      <c r="BS17" s="13">
        <v>1795</v>
      </c>
      <c r="BT17" s="13">
        <v>1233</v>
      </c>
      <c r="BU17" s="13">
        <v>7528</v>
      </c>
      <c r="BV17" s="13">
        <v>325</v>
      </c>
      <c r="BW17" s="13">
        <v>808</v>
      </c>
      <c r="BX17" s="13">
        <v>1269</v>
      </c>
      <c r="BY17" s="13">
        <v>2750</v>
      </c>
      <c r="BZ17" s="13">
        <v>7115</v>
      </c>
      <c r="CA17" s="13">
        <v>17681</v>
      </c>
      <c r="CB17" s="13">
        <v>5398</v>
      </c>
      <c r="CC17" s="13">
        <v>1981</v>
      </c>
      <c r="CD17" s="13">
        <v>8292</v>
      </c>
      <c r="CE17" s="13">
        <v>586</v>
      </c>
      <c r="CF17" s="13">
        <v>1215</v>
      </c>
      <c r="CG17" s="13">
        <v>555</v>
      </c>
      <c r="CH17" s="13">
        <v>300</v>
      </c>
      <c r="CI17" s="13">
        <v>13708</v>
      </c>
      <c r="CJ17" s="13">
        <v>870</v>
      </c>
      <c r="CK17" s="13">
        <v>5132</v>
      </c>
      <c r="CL17" s="13">
        <v>667</v>
      </c>
      <c r="CM17" s="13">
        <v>463</v>
      </c>
      <c r="CN17" s="13">
        <v>429</v>
      </c>
      <c r="CO17" s="13">
        <v>469</v>
      </c>
      <c r="CP17" s="13">
        <v>151</v>
      </c>
      <c r="CQ17" s="13">
        <v>3144</v>
      </c>
      <c r="CR17" s="13">
        <v>11892</v>
      </c>
      <c r="CS17" s="13">
        <v>2062</v>
      </c>
      <c r="CT17" s="13">
        <v>4048</v>
      </c>
      <c r="CU17" s="13">
        <v>1927</v>
      </c>
      <c r="CV17" s="14">
        <v>288186</v>
      </c>
      <c r="CW17" s="13">
        <v>2039</v>
      </c>
      <c r="CX17" s="13">
        <v>1692</v>
      </c>
      <c r="CY17" s="13">
        <v>676</v>
      </c>
      <c r="CZ17" s="13">
        <v>1225</v>
      </c>
      <c r="DA17" s="13">
        <v>215</v>
      </c>
      <c r="DB17" s="14">
        <v>5847</v>
      </c>
      <c r="DC17" s="14">
        <v>294033</v>
      </c>
      <c r="DD17" s="13">
        <v>347</v>
      </c>
      <c r="DE17" s="13">
        <v>262</v>
      </c>
      <c r="DF17" s="13">
        <v>99</v>
      </c>
      <c r="DG17" s="13">
        <v>30</v>
      </c>
      <c r="DH17" s="13">
        <v>85</v>
      </c>
      <c r="DI17" s="13">
        <v>1613</v>
      </c>
      <c r="DJ17" s="14">
        <v>2436</v>
      </c>
      <c r="DK17" s="13">
        <v>278</v>
      </c>
      <c r="DL17" s="13">
        <v>5295</v>
      </c>
      <c r="DM17" s="13">
        <v>0</v>
      </c>
      <c r="DN17" s="14">
        <v>302042</v>
      </c>
    </row>
    <row r="18" spans="1:118" x14ac:dyDescent="0.2">
      <c r="A18" s="10"/>
      <c r="B18" s="11" t="s">
        <v>352</v>
      </c>
      <c r="C18" s="12" t="s">
        <v>353</v>
      </c>
      <c r="D18" s="13">
        <v>2599</v>
      </c>
      <c r="E18" s="13">
        <v>2058</v>
      </c>
      <c r="F18" s="13">
        <v>1566</v>
      </c>
      <c r="G18" s="13">
        <v>978</v>
      </c>
      <c r="H18" s="13">
        <v>1208</v>
      </c>
      <c r="I18" s="13">
        <v>6713</v>
      </c>
      <c r="J18" s="13">
        <v>1472</v>
      </c>
      <c r="K18" s="13">
        <v>1309</v>
      </c>
      <c r="L18" s="13">
        <v>722</v>
      </c>
      <c r="M18" s="13">
        <v>1481</v>
      </c>
      <c r="N18" s="13">
        <v>2110</v>
      </c>
      <c r="O18" s="13">
        <v>985</v>
      </c>
      <c r="P18" s="13">
        <v>13524</v>
      </c>
      <c r="Q18" s="13">
        <v>2814</v>
      </c>
      <c r="R18" s="13">
        <v>540</v>
      </c>
      <c r="S18" s="13">
        <v>1636</v>
      </c>
      <c r="T18" s="13">
        <v>2908</v>
      </c>
      <c r="U18" s="13">
        <v>1168</v>
      </c>
      <c r="V18" s="13">
        <v>1102</v>
      </c>
      <c r="W18" s="13">
        <v>2635</v>
      </c>
      <c r="X18" s="13">
        <v>1559</v>
      </c>
      <c r="Y18" s="13">
        <v>562</v>
      </c>
      <c r="Z18" s="13">
        <v>2038</v>
      </c>
      <c r="AA18" s="13">
        <v>2915</v>
      </c>
      <c r="AB18" s="13">
        <v>2445</v>
      </c>
      <c r="AC18" s="13">
        <v>2498</v>
      </c>
      <c r="AD18" s="13">
        <v>1585</v>
      </c>
      <c r="AE18" s="13">
        <v>2523</v>
      </c>
      <c r="AF18" s="13">
        <v>3432</v>
      </c>
      <c r="AG18" s="13">
        <v>3336</v>
      </c>
      <c r="AH18" s="13">
        <v>4015</v>
      </c>
      <c r="AI18" s="13">
        <v>4263</v>
      </c>
      <c r="AJ18" s="13">
        <v>913</v>
      </c>
      <c r="AK18" s="13">
        <v>6259</v>
      </c>
      <c r="AL18" s="13">
        <v>5341</v>
      </c>
      <c r="AM18" s="13">
        <v>2232</v>
      </c>
      <c r="AN18" s="13">
        <v>1221</v>
      </c>
      <c r="AO18" s="13">
        <v>2240</v>
      </c>
      <c r="AP18" s="13">
        <v>4936</v>
      </c>
      <c r="AQ18" s="13">
        <v>1218</v>
      </c>
      <c r="AR18" s="13">
        <v>1952</v>
      </c>
      <c r="AS18" s="13">
        <v>1255</v>
      </c>
      <c r="AT18" s="13">
        <v>2482</v>
      </c>
      <c r="AU18" s="13">
        <v>1146</v>
      </c>
      <c r="AV18" s="13">
        <v>2994</v>
      </c>
      <c r="AW18" s="13">
        <v>2694</v>
      </c>
      <c r="AX18" s="13">
        <v>746</v>
      </c>
      <c r="AY18" s="13">
        <v>1655</v>
      </c>
      <c r="AZ18" s="13">
        <v>442</v>
      </c>
      <c r="BA18" s="13">
        <v>2085</v>
      </c>
      <c r="BB18" s="13">
        <v>2007</v>
      </c>
      <c r="BC18" s="13">
        <v>2782</v>
      </c>
      <c r="BD18" s="13">
        <v>919</v>
      </c>
      <c r="BE18" s="13">
        <v>629</v>
      </c>
      <c r="BF18" s="13">
        <v>4161</v>
      </c>
      <c r="BG18" s="13">
        <v>1241</v>
      </c>
      <c r="BH18" s="13">
        <v>2352</v>
      </c>
      <c r="BI18" s="13">
        <v>7160</v>
      </c>
      <c r="BJ18" s="13">
        <v>1018</v>
      </c>
      <c r="BK18" s="13">
        <v>8184</v>
      </c>
      <c r="BL18" s="13">
        <v>3727</v>
      </c>
      <c r="BM18" s="13">
        <v>988</v>
      </c>
      <c r="BN18" s="13">
        <v>4003</v>
      </c>
      <c r="BO18" s="13">
        <v>2621</v>
      </c>
      <c r="BP18" s="13">
        <v>3071</v>
      </c>
      <c r="BQ18" s="13">
        <v>1343</v>
      </c>
      <c r="BR18" s="13">
        <v>2803</v>
      </c>
      <c r="BS18" s="13">
        <v>7574</v>
      </c>
      <c r="BT18" s="13">
        <v>4254</v>
      </c>
      <c r="BU18" s="13">
        <v>5892</v>
      </c>
      <c r="BV18" s="13">
        <v>1567</v>
      </c>
      <c r="BW18" s="13">
        <v>2364</v>
      </c>
      <c r="BX18" s="13">
        <v>1481</v>
      </c>
      <c r="BY18" s="13">
        <v>2657</v>
      </c>
      <c r="BZ18" s="13">
        <v>4255</v>
      </c>
      <c r="CA18" s="13">
        <v>5192</v>
      </c>
      <c r="CB18" s="13">
        <v>3552</v>
      </c>
      <c r="CC18" s="13">
        <v>5657</v>
      </c>
      <c r="CD18" s="13">
        <v>5497</v>
      </c>
      <c r="CE18" s="13">
        <v>1218</v>
      </c>
      <c r="CF18" s="13">
        <v>1731</v>
      </c>
      <c r="CG18" s="13">
        <v>2171</v>
      </c>
      <c r="CH18" s="13">
        <v>1251</v>
      </c>
      <c r="CI18" s="13">
        <v>9329</v>
      </c>
      <c r="CJ18" s="13">
        <v>3247</v>
      </c>
      <c r="CK18" s="13">
        <v>1650</v>
      </c>
      <c r="CL18" s="13">
        <v>1461</v>
      </c>
      <c r="CM18" s="13">
        <v>1802</v>
      </c>
      <c r="CN18" s="13">
        <v>2540</v>
      </c>
      <c r="CO18" s="13">
        <v>1822</v>
      </c>
      <c r="CP18" s="13">
        <v>826</v>
      </c>
      <c r="CQ18" s="13">
        <v>4800</v>
      </c>
      <c r="CR18" s="13">
        <v>4887</v>
      </c>
      <c r="CS18" s="13">
        <v>2284</v>
      </c>
      <c r="CT18" s="13">
        <v>3763</v>
      </c>
      <c r="CU18" s="13">
        <v>3849</v>
      </c>
      <c r="CV18" s="14">
        <v>270092</v>
      </c>
      <c r="CW18" s="13">
        <v>996</v>
      </c>
      <c r="CX18" s="13">
        <v>614</v>
      </c>
      <c r="CY18" s="13">
        <v>665</v>
      </c>
      <c r="CZ18" s="13">
        <v>750</v>
      </c>
      <c r="DA18" s="13">
        <v>106</v>
      </c>
      <c r="DB18" s="14">
        <v>3131</v>
      </c>
      <c r="DC18" s="14">
        <v>273223</v>
      </c>
      <c r="DD18" s="13">
        <v>41</v>
      </c>
      <c r="DE18" s="13">
        <v>73</v>
      </c>
      <c r="DF18" s="13">
        <v>254</v>
      </c>
      <c r="DG18" s="13">
        <v>1</v>
      </c>
      <c r="DH18" s="13">
        <v>2</v>
      </c>
      <c r="DI18" s="13">
        <v>1481</v>
      </c>
      <c r="DJ18" s="14">
        <v>1852</v>
      </c>
      <c r="DK18" s="13">
        <v>41</v>
      </c>
      <c r="DL18" s="13">
        <v>0</v>
      </c>
      <c r="DM18" s="13">
        <v>0</v>
      </c>
      <c r="DN18" s="14">
        <v>275116</v>
      </c>
    </row>
    <row r="19" spans="1:118" x14ac:dyDescent="0.2">
      <c r="A19" s="10"/>
      <c r="B19" s="11" t="s">
        <v>354</v>
      </c>
      <c r="C19" s="12" t="s">
        <v>355</v>
      </c>
      <c r="D19" s="13">
        <v>2138</v>
      </c>
      <c r="E19" s="13">
        <v>768</v>
      </c>
      <c r="F19" s="13">
        <v>1081</v>
      </c>
      <c r="G19" s="13">
        <v>608</v>
      </c>
      <c r="H19" s="13">
        <v>632</v>
      </c>
      <c r="I19" s="13">
        <v>2113</v>
      </c>
      <c r="J19" s="13">
        <v>788</v>
      </c>
      <c r="K19" s="13">
        <v>633</v>
      </c>
      <c r="L19" s="13">
        <v>237</v>
      </c>
      <c r="M19" s="13">
        <v>738</v>
      </c>
      <c r="N19" s="13">
        <v>671</v>
      </c>
      <c r="O19" s="13">
        <v>697</v>
      </c>
      <c r="P19" s="13">
        <v>4806</v>
      </c>
      <c r="Q19" s="13">
        <v>3014</v>
      </c>
      <c r="R19" s="13">
        <v>356</v>
      </c>
      <c r="S19" s="13">
        <v>884</v>
      </c>
      <c r="T19" s="13">
        <v>2014</v>
      </c>
      <c r="U19" s="13">
        <v>1345</v>
      </c>
      <c r="V19" s="13">
        <v>823</v>
      </c>
      <c r="W19" s="13">
        <v>2063</v>
      </c>
      <c r="X19" s="13">
        <v>2368</v>
      </c>
      <c r="Y19" s="13">
        <v>716</v>
      </c>
      <c r="Z19" s="13">
        <v>1474</v>
      </c>
      <c r="AA19" s="13">
        <v>1829</v>
      </c>
      <c r="AB19" s="13">
        <v>1340</v>
      </c>
      <c r="AC19" s="13">
        <v>1633</v>
      </c>
      <c r="AD19" s="13">
        <v>1962</v>
      </c>
      <c r="AE19" s="13">
        <v>2102</v>
      </c>
      <c r="AF19" s="13">
        <v>82</v>
      </c>
      <c r="AG19" s="13">
        <v>188</v>
      </c>
      <c r="AH19" s="13">
        <v>1594</v>
      </c>
      <c r="AI19" s="13">
        <v>5319</v>
      </c>
      <c r="AJ19" s="13">
        <v>479</v>
      </c>
      <c r="AK19" s="13">
        <v>6485</v>
      </c>
      <c r="AL19" s="13">
        <v>2589</v>
      </c>
      <c r="AM19" s="13">
        <v>8236</v>
      </c>
      <c r="AN19" s="13">
        <v>1340</v>
      </c>
      <c r="AO19" s="13">
        <v>3019</v>
      </c>
      <c r="AP19" s="13">
        <v>5131</v>
      </c>
      <c r="AQ19" s="13">
        <v>868</v>
      </c>
      <c r="AR19" s="13">
        <v>1349</v>
      </c>
      <c r="AS19" s="13">
        <v>1423</v>
      </c>
      <c r="AT19" s="13">
        <v>2202</v>
      </c>
      <c r="AU19" s="13">
        <v>540</v>
      </c>
      <c r="AV19" s="13">
        <v>7309</v>
      </c>
      <c r="AW19" s="13">
        <v>3075</v>
      </c>
      <c r="AX19" s="13">
        <v>794</v>
      </c>
      <c r="AY19" s="13">
        <v>819</v>
      </c>
      <c r="AZ19" s="13">
        <v>295</v>
      </c>
      <c r="BA19" s="13">
        <v>4105</v>
      </c>
      <c r="BB19" s="13">
        <v>1438</v>
      </c>
      <c r="BC19" s="13">
        <v>1250</v>
      </c>
      <c r="BD19" s="13">
        <v>253</v>
      </c>
      <c r="BE19" s="13">
        <v>1458</v>
      </c>
      <c r="BF19" s="13">
        <v>1945</v>
      </c>
      <c r="BG19" s="13">
        <v>414</v>
      </c>
      <c r="BH19" s="13">
        <v>3162</v>
      </c>
      <c r="BI19" s="13">
        <v>2352</v>
      </c>
      <c r="BJ19" s="13">
        <v>366</v>
      </c>
      <c r="BK19" s="13">
        <v>5855</v>
      </c>
      <c r="BL19" s="13">
        <v>1891</v>
      </c>
      <c r="BM19" s="13">
        <v>1285</v>
      </c>
      <c r="BN19" s="13">
        <v>3440</v>
      </c>
      <c r="BO19" s="13">
        <v>2915</v>
      </c>
      <c r="BP19" s="13">
        <v>661</v>
      </c>
      <c r="BQ19" s="13">
        <v>260</v>
      </c>
      <c r="BR19" s="13">
        <v>1295</v>
      </c>
      <c r="BS19" s="13">
        <v>5324</v>
      </c>
      <c r="BT19" s="13">
        <v>2684</v>
      </c>
      <c r="BU19" s="13">
        <v>5458</v>
      </c>
      <c r="BV19" s="13">
        <v>774</v>
      </c>
      <c r="BW19" s="13">
        <v>1158</v>
      </c>
      <c r="BX19" s="13">
        <v>2048</v>
      </c>
      <c r="BY19" s="13">
        <v>1573</v>
      </c>
      <c r="BZ19" s="13">
        <v>2597</v>
      </c>
      <c r="CA19" s="13">
        <v>4561</v>
      </c>
      <c r="CB19" s="13">
        <v>3727</v>
      </c>
      <c r="CC19" s="13">
        <v>5753</v>
      </c>
      <c r="CD19" s="13">
        <v>6092</v>
      </c>
      <c r="CE19" s="13">
        <v>499</v>
      </c>
      <c r="CF19" s="13">
        <v>1206</v>
      </c>
      <c r="CG19" s="13">
        <v>1062</v>
      </c>
      <c r="CH19" s="13">
        <v>633</v>
      </c>
      <c r="CI19" s="13">
        <v>1930</v>
      </c>
      <c r="CJ19" s="13">
        <v>1509</v>
      </c>
      <c r="CK19" s="13">
        <v>2075</v>
      </c>
      <c r="CL19" s="13">
        <v>1169</v>
      </c>
      <c r="CM19" s="13">
        <v>2078</v>
      </c>
      <c r="CN19" s="13">
        <v>770</v>
      </c>
      <c r="CO19" s="13">
        <v>672</v>
      </c>
      <c r="CP19" s="13">
        <v>212</v>
      </c>
      <c r="CQ19" s="13">
        <v>5328</v>
      </c>
      <c r="CR19" s="13">
        <v>6088</v>
      </c>
      <c r="CS19" s="13">
        <v>2880</v>
      </c>
      <c r="CT19" s="13">
        <v>4379</v>
      </c>
      <c r="CU19" s="13">
        <v>3826</v>
      </c>
      <c r="CV19" s="14">
        <v>205379</v>
      </c>
      <c r="CW19" s="13">
        <v>572</v>
      </c>
      <c r="CX19" s="13">
        <v>413</v>
      </c>
      <c r="CY19" s="13">
        <v>261</v>
      </c>
      <c r="CZ19" s="13">
        <v>1288</v>
      </c>
      <c r="DA19" s="13">
        <v>65</v>
      </c>
      <c r="DB19" s="14">
        <v>2599</v>
      </c>
      <c r="DC19" s="14">
        <v>207978</v>
      </c>
      <c r="DD19" s="13">
        <v>70</v>
      </c>
      <c r="DE19" s="13">
        <v>0</v>
      </c>
      <c r="DF19" s="13">
        <v>51</v>
      </c>
      <c r="DG19" s="13">
        <v>75</v>
      </c>
      <c r="DH19" s="13">
        <v>0</v>
      </c>
      <c r="DI19" s="13">
        <v>545</v>
      </c>
      <c r="DJ19" s="14">
        <v>741</v>
      </c>
      <c r="DK19" s="13">
        <v>89</v>
      </c>
      <c r="DL19" s="13">
        <v>178</v>
      </c>
      <c r="DM19" s="13">
        <v>0</v>
      </c>
      <c r="DN19" s="14">
        <v>208986</v>
      </c>
    </row>
    <row r="20" spans="1:118" x14ac:dyDescent="0.2">
      <c r="A20" s="10"/>
      <c r="B20" s="11" t="s">
        <v>356</v>
      </c>
      <c r="C20" s="12" t="s">
        <v>357</v>
      </c>
      <c r="D20" s="13">
        <v>1592</v>
      </c>
      <c r="E20" s="13">
        <v>1334</v>
      </c>
      <c r="F20" s="13">
        <v>827</v>
      </c>
      <c r="G20" s="13">
        <v>349</v>
      </c>
      <c r="H20" s="13">
        <v>190</v>
      </c>
      <c r="I20" s="13">
        <v>2741</v>
      </c>
      <c r="J20" s="13">
        <v>811</v>
      </c>
      <c r="K20" s="13">
        <v>912</v>
      </c>
      <c r="L20" s="13">
        <v>229</v>
      </c>
      <c r="M20" s="13">
        <v>624</v>
      </c>
      <c r="N20" s="13">
        <v>425</v>
      </c>
      <c r="O20" s="13">
        <v>501</v>
      </c>
      <c r="P20" s="13">
        <v>2520</v>
      </c>
      <c r="Q20" s="13">
        <v>2730</v>
      </c>
      <c r="R20" s="13">
        <v>293</v>
      </c>
      <c r="S20" s="13">
        <v>1267</v>
      </c>
      <c r="T20" s="13">
        <v>1705</v>
      </c>
      <c r="U20" s="13">
        <v>969</v>
      </c>
      <c r="V20" s="13">
        <v>563</v>
      </c>
      <c r="W20" s="13">
        <v>1200</v>
      </c>
      <c r="X20" s="13">
        <v>1814</v>
      </c>
      <c r="Y20" s="13">
        <v>70</v>
      </c>
      <c r="Z20" s="13">
        <v>650</v>
      </c>
      <c r="AA20" s="13">
        <v>1313</v>
      </c>
      <c r="AB20" s="13">
        <v>981</v>
      </c>
      <c r="AC20" s="13">
        <v>2035</v>
      </c>
      <c r="AD20" s="13">
        <v>1333</v>
      </c>
      <c r="AE20" s="13">
        <v>3647</v>
      </c>
      <c r="AF20" s="13">
        <v>213</v>
      </c>
      <c r="AG20" s="13">
        <v>132</v>
      </c>
      <c r="AH20" s="13">
        <v>1430</v>
      </c>
      <c r="AI20" s="13">
        <v>2306</v>
      </c>
      <c r="AJ20" s="13">
        <v>452</v>
      </c>
      <c r="AK20" s="13">
        <v>4179</v>
      </c>
      <c r="AL20" s="13">
        <v>1898</v>
      </c>
      <c r="AM20" s="13">
        <v>4227</v>
      </c>
      <c r="AN20" s="13">
        <v>895</v>
      </c>
      <c r="AO20" s="13">
        <v>3209</v>
      </c>
      <c r="AP20" s="13">
        <v>3153</v>
      </c>
      <c r="AQ20" s="13">
        <v>592</v>
      </c>
      <c r="AR20" s="13">
        <v>940</v>
      </c>
      <c r="AS20" s="13">
        <v>1425</v>
      </c>
      <c r="AT20" s="13">
        <v>2217</v>
      </c>
      <c r="AU20" s="13">
        <v>514</v>
      </c>
      <c r="AV20" s="13">
        <v>6817</v>
      </c>
      <c r="AW20" s="13">
        <v>2712</v>
      </c>
      <c r="AX20" s="13">
        <v>411</v>
      </c>
      <c r="AY20" s="13">
        <v>817</v>
      </c>
      <c r="AZ20" s="13">
        <v>165</v>
      </c>
      <c r="BA20" s="13">
        <v>3912</v>
      </c>
      <c r="BB20" s="13">
        <v>2389</v>
      </c>
      <c r="BC20" s="13">
        <v>1207</v>
      </c>
      <c r="BD20" s="13">
        <v>414</v>
      </c>
      <c r="BE20" s="13">
        <v>2422</v>
      </c>
      <c r="BF20" s="13">
        <v>2574</v>
      </c>
      <c r="BG20" s="13">
        <v>803</v>
      </c>
      <c r="BH20" s="13">
        <v>2422</v>
      </c>
      <c r="BI20" s="13">
        <v>2746</v>
      </c>
      <c r="BJ20" s="13">
        <v>624</v>
      </c>
      <c r="BK20" s="13">
        <v>9204</v>
      </c>
      <c r="BL20" s="13">
        <v>2270</v>
      </c>
      <c r="BM20" s="13">
        <v>1288</v>
      </c>
      <c r="BN20" s="13">
        <v>4139</v>
      </c>
      <c r="BO20" s="13">
        <v>1893</v>
      </c>
      <c r="BP20" s="13">
        <v>806</v>
      </c>
      <c r="BQ20" s="13">
        <v>306</v>
      </c>
      <c r="BR20" s="13">
        <v>624</v>
      </c>
      <c r="BS20" s="13">
        <v>2197</v>
      </c>
      <c r="BT20" s="13">
        <v>1271</v>
      </c>
      <c r="BU20" s="13">
        <v>5350</v>
      </c>
      <c r="BV20" s="13">
        <v>641</v>
      </c>
      <c r="BW20" s="13">
        <v>983</v>
      </c>
      <c r="BX20" s="13">
        <v>3345</v>
      </c>
      <c r="BY20" s="13">
        <v>961</v>
      </c>
      <c r="BZ20" s="13">
        <v>1685</v>
      </c>
      <c r="CA20" s="13">
        <v>3106</v>
      </c>
      <c r="CB20" s="13">
        <v>4302</v>
      </c>
      <c r="CC20" s="13">
        <v>3800</v>
      </c>
      <c r="CD20" s="13">
        <v>5581</v>
      </c>
      <c r="CE20" s="13">
        <v>1727</v>
      </c>
      <c r="CF20" s="13">
        <v>1736</v>
      </c>
      <c r="CG20" s="13">
        <v>863</v>
      </c>
      <c r="CH20" s="13">
        <v>622</v>
      </c>
      <c r="CI20" s="13">
        <v>1909</v>
      </c>
      <c r="CJ20" s="13">
        <v>1096</v>
      </c>
      <c r="CK20" s="13">
        <v>3823</v>
      </c>
      <c r="CL20" s="13">
        <v>1513</v>
      </c>
      <c r="CM20" s="13">
        <v>739</v>
      </c>
      <c r="CN20" s="13">
        <v>1121</v>
      </c>
      <c r="CO20" s="13">
        <v>607</v>
      </c>
      <c r="CP20" s="13">
        <v>371</v>
      </c>
      <c r="CQ20" s="13">
        <v>4070</v>
      </c>
      <c r="CR20" s="13">
        <v>5039</v>
      </c>
      <c r="CS20" s="13">
        <v>2259</v>
      </c>
      <c r="CT20" s="13">
        <v>4350</v>
      </c>
      <c r="CU20" s="13">
        <v>2979</v>
      </c>
      <c r="CV20" s="14">
        <v>180418</v>
      </c>
      <c r="CW20" s="13">
        <v>272</v>
      </c>
      <c r="CX20" s="13">
        <v>306</v>
      </c>
      <c r="CY20" s="13">
        <v>109</v>
      </c>
      <c r="CZ20" s="13">
        <v>664</v>
      </c>
      <c r="DA20" s="13">
        <v>198</v>
      </c>
      <c r="DB20" s="14">
        <v>1549</v>
      </c>
      <c r="DC20" s="14">
        <v>181967</v>
      </c>
      <c r="DD20" s="13">
        <v>1</v>
      </c>
      <c r="DE20" s="13">
        <v>0</v>
      </c>
      <c r="DF20" s="13">
        <v>1</v>
      </c>
      <c r="DG20" s="13">
        <v>11</v>
      </c>
      <c r="DH20" s="13">
        <v>102</v>
      </c>
      <c r="DI20" s="13">
        <v>397</v>
      </c>
      <c r="DJ20" s="14">
        <v>512</v>
      </c>
      <c r="DK20" s="13">
        <v>12</v>
      </c>
      <c r="DL20" s="13">
        <v>8</v>
      </c>
      <c r="DM20" s="13">
        <v>0</v>
      </c>
      <c r="DN20" s="14">
        <v>182499</v>
      </c>
    </row>
    <row r="21" spans="1:118" x14ac:dyDescent="0.2">
      <c r="A21" s="10"/>
      <c r="B21" s="11" t="s">
        <v>358</v>
      </c>
      <c r="C21" s="12" t="s">
        <v>359</v>
      </c>
      <c r="D21" s="13">
        <v>1174</v>
      </c>
      <c r="E21" s="13">
        <v>1084</v>
      </c>
      <c r="F21" s="13">
        <v>312</v>
      </c>
      <c r="G21" s="13">
        <v>391</v>
      </c>
      <c r="H21" s="13">
        <v>385</v>
      </c>
      <c r="I21" s="13">
        <v>4626</v>
      </c>
      <c r="J21" s="13">
        <v>716</v>
      </c>
      <c r="K21" s="13">
        <v>200</v>
      </c>
      <c r="L21" s="13">
        <v>311</v>
      </c>
      <c r="M21" s="13">
        <v>168</v>
      </c>
      <c r="N21" s="13">
        <v>1007</v>
      </c>
      <c r="O21" s="13">
        <v>142</v>
      </c>
      <c r="P21" s="13">
        <v>4129</v>
      </c>
      <c r="Q21" s="13">
        <v>1243</v>
      </c>
      <c r="R21" s="13">
        <v>251</v>
      </c>
      <c r="S21" s="13">
        <v>705</v>
      </c>
      <c r="T21" s="13">
        <v>1900</v>
      </c>
      <c r="U21" s="13">
        <v>121</v>
      </c>
      <c r="V21" s="13">
        <v>302</v>
      </c>
      <c r="W21" s="13">
        <v>1435</v>
      </c>
      <c r="X21" s="13">
        <v>1182</v>
      </c>
      <c r="Y21" s="13">
        <v>12</v>
      </c>
      <c r="Z21" s="13">
        <v>383</v>
      </c>
      <c r="AA21" s="13">
        <v>817</v>
      </c>
      <c r="AB21" s="13">
        <v>1289</v>
      </c>
      <c r="AC21" s="13">
        <v>1410</v>
      </c>
      <c r="AD21" s="13">
        <v>964</v>
      </c>
      <c r="AE21" s="13">
        <v>1483</v>
      </c>
      <c r="AF21" s="13">
        <v>440</v>
      </c>
      <c r="AG21" s="13">
        <v>274</v>
      </c>
      <c r="AH21" s="13">
        <v>736</v>
      </c>
      <c r="AI21" s="13">
        <v>2292</v>
      </c>
      <c r="AJ21" s="13">
        <v>40</v>
      </c>
      <c r="AK21" s="13">
        <v>4046</v>
      </c>
      <c r="AL21" s="13">
        <v>5333</v>
      </c>
      <c r="AM21" s="13">
        <v>6243</v>
      </c>
      <c r="AN21" s="13">
        <v>6</v>
      </c>
      <c r="AO21" s="13">
        <v>1624</v>
      </c>
      <c r="AP21" s="13">
        <v>2974</v>
      </c>
      <c r="AQ21" s="13">
        <v>321</v>
      </c>
      <c r="AR21" s="13">
        <v>1100</v>
      </c>
      <c r="AS21" s="13">
        <v>323</v>
      </c>
      <c r="AT21" s="13">
        <v>2414</v>
      </c>
      <c r="AU21" s="13">
        <v>199</v>
      </c>
      <c r="AV21" s="13">
        <v>4394</v>
      </c>
      <c r="AW21" s="13">
        <v>1871</v>
      </c>
      <c r="AX21" s="13">
        <v>9</v>
      </c>
      <c r="AY21" s="13">
        <v>466</v>
      </c>
      <c r="AZ21" s="13">
        <v>152</v>
      </c>
      <c r="BA21" s="13">
        <v>1860</v>
      </c>
      <c r="BB21" s="13">
        <v>654</v>
      </c>
      <c r="BC21" s="13">
        <v>589</v>
      </c>
      <c r="BD21" s="13">
        <v>481</v>
      </c>
      <c r="BE21" s="13">
        <v>1017</v>
      </c>
      <c r="BF21" s="13">
        <v>1965</v>
      </c>
      <c r="BG21" s="13">
        <v>109</v>
      </c>
      <c r="BH21" s="13">
        <v>1669</v>
      </c>
      <c r="BI21" s="13">
        <v>2147</v>
      </c>
      <c r="BJ21" s="13">
        <v>14</v>
      </c>
      <c r="BK21" s="13">
        <v>7767</v>
      </c>
      <c r="BL21" s="13">
        <v>1096</v>
      </c>
      <c r="BM21" s="13">
        <v>406</v>
      </c>
      <c r="BN21" s="13">
        <v>2263</v>
      </c>
      <c r="BO21" s="13">
        <v>727</v>
      </c>
      <c r="BP21" s="13">
        <v>1878</v>
      </c>
      <c r="BQ21" s="13">
        <v>436</v>
      </c>
      <c r="BR21" s="13">
        <v>924</v>
      </c>
      <c r="BS21" s="13">
        <v>3117</v>
      </c>
      <c r="BT21" s="13">
        <v>2543</v>
      </c>
      <c r="BU21" s="13">
        <v>5597</v>
      </c>
      <c r="BV21" s="13">
        <v>203</v>
      </c>
      <c r="BW21" s="13">
        <v>870</v>
      </c>
      <c r="BX21" s="13">
        <v>1044</v>
      </c>
      <c r="BY21" s="13">
        <v>582</v>
      </c>
      <c r="BZ21" s="13">
        <v>768</v>
      </c>
      <c r="CA21" s="13">
        <v>3682</v>
      </c>
      <c r="CB21" s="13">
        <v>1497</v>
      </c>
      <c r="CC21" s="13">
        <v>3437</v>
      </c>
      <c r="CD21" s="13">
        <v>3585</v>
      </c>
      <c r="CE21" s="13">
        <v>791</v>
      </c>
      <c r="CF21" s="13">
        <v>798</v>
      </c>
      <c r="CG21" s="13">
        <v>1220</v>
      </c>
      <c r="CH21" s="13">
        <v>292</v>
      </c>
      <c r="CI21" s="13">
        <v>3306</v>
      </c>
      <c r="CJ21" s="13">
        <v>1151</v>
      </c>
      <c r="CK21" s="13">
        <v>2181</v>
      </c>
      <c r="CL21" s="13">
        <v>1762</v>
      </c>
      <c r="CM21" s="13">
        <v>179</v>
      </c>
      <c r="CN21" s="13">
        <v>858</v>
      </c>
      <c r="CO21" s="13">
        <v>211</v>
      </c>
      <c r="CP21" s="13">
        <v>299</v>
      </c>
      <c r="CQ21" s="13">
        <v>3316</v>
      </c>
      <c r="CR21" s="13">
        <v>6322</v>
      </c>
      <c r="CS21" s="13">
        <v>2051</v>
      </c>
      <c r="CT21" s="13">
        <v>3925</v>
      </c>
      <c r="CU21" s="13">
        <v>3496</v>
      </c>
      <c r="CV21" s="14">
        <v>148484</v>
      </c>
      <c r="CW21" s="13">
        <v>949</v>
      </c>
      <c r="CX21" s="13">
        <v>999</v>
      </c>
      <c r="CY21" s="13">
        <v>904</v>
      </c>
      <c r="CZ21" s="13">
        <v>2879</v>
      </c>
      <c r="DA21" s="13">
        <v>874</v>
      </c>
      <c r="DB21" s="14">
        <v>6605</v>
      </c>
      <c r="DC21" s="14">
        <v>155089</v>
      </c>
      <c r="DD21" s="13">
        <v>2</v>
      </c>
      <c r="DE21" s="13">
        <v>0</v>
      </c>
      <c r="DF21" s="13">
        <v>13</v>
      </c>
      <c r="DG21" s="13">
        <v>280</v>
      </c>
      <c r="DH21" s="13">
        <v>1</v>
      </c>
      <c r="DI21" s="13">
        <v>33</v>
      </c>
      <c r="DJ21" s="14">
        <v>329</v>
      </c>
      <c r="DK21" s="13">
        <v>143</v>
      </c>
      <c r="DL21" s="13">
        <v>74</v>
      </c>
      <c r="DM21" s="13">
        <v>0</v>
      </c>
      <c r="DN21" s="14">
        <v>155635</v>
      </c>
    </row>
    <row r="22" spans="1:118" x14ac:dyDescent="0.2">
      <c r="A22" s="10"/>
      <c r="B22" s="11" t="s">
        <v>360</v>
      </c>
      <c r="C22" s="12" t="s">
        <v>361</v>
      </c>
      <c r="D22" s="13">
        <v>2207</v>
      </c>
      <c r="E22" s="13">
        <v>288</v>
      </c>
      <c r="F22" s="13">
        <v>881</v>
      </c>
      <c r="G22" s="13">
        <v>1007</v>
      </c>
      <c r="H22" s="13">
        <v>797</v>
      </c>
      <c r="I22" s="13">
        <v>2515</v>
      </c>
      <c r="J22" s="13">
        <v>1531</v>
      </c>
      <c r="K22" s="13">
        <v>147</v>
      </c>
      <c r="L22" s="13">
        <v>639</v>
      </c>
      <c r="M22" s="13">
        <v>775</v>
      </c>
      <c r="N22" s="13">
        <v>174</v>
      </c>
      <c r="O22" s="13">
        <v>367</v>
      </c>
      <c r="P22" s="13">
        <v>2605</v>
      </c>
      <c r="Q22" s="13">
        <v>1351</v>
      </c>
      <c r="R22" s="13">
        <v>28</v>
      </c>
      <c r="S22" s="13">
        <v>320</v>
      </c>
      <c r="T22" s="13">
        <v>1065</v>
      </c>
      <c r="U22" s="13">
        <v>332</v>
      </c>
      <c r="V22" s="13">
        <v>456</v>
      </c>
      <c r="W22" s="13">
        <v>712</v>
      </c>
      <c r="X22" s="13">
        <v>1364</v>
      </c>
      <c r="Y22" s="13">
        <v>20</v>
      </c>
      <c r="Z22" s="13">
        <v>329</v>
      </c>
      <c r="AA22" s="13">
        <v>1383</v>
      </c>
      <c r="AB22" s="13">
        <v>1929</v>
      </c>
      <c r="AC22" s="13">
        <v>1761</v>
      </c>
      <c r="AD22" s="13">
        <v>645</v>
      </c>
      <c r="AE22" s="13">
        <v>2370</v>
      </c>
      <c r="AF22" s="13">
        <v>269</v>
      </c>
      <c r="AG22" s="13">
        <v>461</v>
      </c>
      <c r="AH22" s="13">
        <v>800</v>
      </c>
      <c r="AI22" s="13">
        <v>4328</v>
      </c>
      <c r="AJ22" s="13">
        <v>78</v>
      </c>
      <c r="AK22" s="13">
        <v>1914</v>
      </c>
      <c r="AL22" s="13">
        <v>1996</v>
      </c>
      <c r="AM22" s="13">
        <v>2036</v>
      </c>
      <c r="AN22" s="13">
        <v>415</v>
      </c>
      <c r="AO22" s="13">
        <v>795</v>
      </c>
      <c r="AP22" s="13">
        <v>3642</v>
      </c>
      <c r="AQ22" s="13">
        <v>690</v>
      </c>
      <c r="AR22" s="13">
        <v>721</v>
      </c>
      <c r="AS22" s="13">
        <v>399</v>
      </c>
      <c r="AT22" s="13">
        <v>2312</v>
      </c>
      <c r="AU22" s="13">
        <v>728</v>
      </c>
      <c r="AV22" s="13">
        <v>2622</v>
      </c>
      <c r="AW22" s="13">
        <v>1132</v>
      </c>
      <c r="AX22" s="13">
        <v>809</v>
      </c>
      <c r="AY22" s="13">
        <v>110</v>
      </c>
      <c r="AZ22" s="13">
        <v>15</v>
      </c>
      <c r="BA22" s="13">
        <v>1688</v>
      </c>
      <c r="BB22" s="13">
        <v>1531</v>
      </c>
      <c r="BC22" s="13">
        <v>749</v>
      </c>
      <c r="BD22" s="13">
        <v>408</v>
      </c>
      <c r="BE22" s="13">
        <v>1211</v>
      </c>
      <c r="BF22" s="13">
        <v>602</v>
      </c>
      <c r="BG22" s="13">
        <v>156</v>
      </c>
      <c r="BH22" s="13">
        <v>1788</v>
      </c>
      <c r="BI22" s="13">
        <v>716</v>
      </c>
      <c r="BJ22" s="13">
        <v>387</v>
      </c>
      <c r="BK22" s="13">
        <v>2401</v>
      </c>
      <c r="BL22" s="13">
        <v>1133</v>
      </c>
      <c r="BM22" s="13">
        <v>235</v>
      </c>
      <c r="BN22" s="13">
        <v>1612</v>
      </c>
      <c r="BO22" s="13">
        <v>1288</v>
      </c>
      <c r="BP22" s="13">
        <v>2049</v>
      </c>
      <c r="BQ22" s="13">
        <v>1196</v>
      </c>
      <c r="BR22" s="13">
        <v>351</v>
      </c>
      <c r="BS22" s="13">
        <v>1787</v>
      </c>
      <c r="BT22" s="13">
        <v>1102</v>
      </c>
      <c r="BU22" s="13">
        <v>5917</v>
      </c>
      <c r="BV22" s="13">
        <v>24</v>
      </c>
      <c r="BW22" s="13">
        <v>1027</v>
      </c>
      <c r="BX22" s="13">
        <v>179</v>
      </c>
      <c r="BY22" s="13">
        <v>2682</v>
      </c>
      <c r="BZ22" s="13">
        <v>3541</v>
      </c>
      <c r="CA22" s="13">
        <v>1670</v>
      </c>
      <c r="CB22" s="13">
        <v>2083</v>
      </c>
      <c r="CC22" s="13">
        <v>1707</v>
      </c>
      <c r="CD22" s="13">
        <v>3109</v>
      </c>
      <c r="CE22" s="13">
        <v>309</v>
      </c>
      <c r="CF22" s="13">
        <v>395</v>
      </c>
      <c r="CG22" s="13">
        <v>905</v>
      </c>
      <c r="CH22" s="13">
        <v>527</v>
      </c>
      <c r="CI22" s="13">
        <v>1463</v>
      </c>
      <c r="CJ22" s="13">
        <v>447</v>
      </c>
      <c r="CK22" s="13">
        <v>1330</v>
      </c>
      <c r="CL22" s="13">
        <v>666</v>
      </c>
      <c r="CM22" s="13">
        <v>278</v>
      </c>
      <c r="CN22" s="13">
        <v>729</v>
      </c>
      <c r="CO22" s="13">
        <v>567</v>
      </c>
      <c r="CP22" s="13">
        <v>29</v>
      </c>
      <c r="CQ22" s="13">
        <v>3025</v>
      </c>
      <c r="CR22" s="13">
        <v>3797</v>
      </c>
      <c r="CS22" s="13">
        <v>903</v>
      </c>
      <c r="CT22" s="13">
        <v>1927</v>
      </c>
      <c r="CU22" s="13">
        <v>1523</v>
      </c>
      <c r="CV22" s="14">
        <v>117419</v>
      </c>
      <c r="CW22" s="13">
        <v>52</v>
      </c>
      <c r="CX22" s="13">
        <v>105</v>
      </c>
      <c r="CY22" s="13">
        <v>35</v>
      </c>
      <c r="CZ22" s="13">
        <v>1578</v>
      </c>
      <c r="DA22" s="13">
        <v>91</v>
      </c>
      <c r="DB22" s="14">
        <v>1861</v>
      </c>
      <c r="DC22" s="14">
        <v>119280</v>
      </c>
      <c r="DD22" s="13">
        <v>0</v>
      </c>
      <c r="DE22" s="13">
        <v>0</v>
      </c>
      <c r="DF22" s="13">
        <v>0</v>
      </c>
      <c r="DG22" s="13">
        <v>0</v>
      </c>
      <c r="DH22" s="13">
        <v>9</v>
      </c>
      <c r="DI22" s="13">
        <v>764</v>
      </c>
      <c r="DJ22" s="14">
        <v>773</v>
      </c>
      <c r="DK22" s="13">
        <v>4</v>
      </c>
      <c r="DL22" s="13">
        <v>3</v>
      </c>
      <c r="DM22" s="13">
        <v>0</v>
      </c>
      <c r="DN22" s="14">
        <v>120060</v>
      </c>
    </row>
    <row r="23" spans="1:118" x14ac:dyDescent="0.2">
      <c r="A23" s="10"/>
      <c r="B23" s="11" t="s">
        <v>362</v>
      </c>
      <c r="C23" s="12" t="s">
        <v>363</v>
      </c>
      <c r="D23" s="13">
        <v>1236</v>
      </c>
      <c r="E23" s="13">
        <v>544</v>
      </c>
      <c r="F23" s="13">
        <v>688</v>
      </c>
      <c r="G23" s="13">
        <v>459</v>
      </c>
      <c r="H23" s="13">
        <v>350</v>
      </c>
      <c r="I23" s="13">
        <v>1578</v>
      </c>
      <c r="J23" s="13">
        <v>803</v>
      </c>
      <c r="K23" s="13">
        <v>399</v>
      </c>
      <c r="L23" s="13">
        <v>401</v>
      </c>
      <c r="M23" s="13">
        <v>473</v>
      </c>
      <c r="N23" s="13">
        <v>754</v>
      </c>
      <c r="O23" s="13">
        <v>710</v>
      </c>
      <c r="P23" s="13">
        <v>2625</v>
      </c>
      <c r="Q23" s="13">
        <v>1110</v>
      </c>
      <c r="R23" s="13">
        <v>310</v>
      </c>
      <c r="S23" s="13">
        <v>622</v>
      </c>
      <c r="T23" s="13">
        <v>1283</v>
      </c>
      <c r="U23" s="13">
        <v>598</v>
      </c>
      <c r="V23" s="13">
        <v>298</v>
      </c>
      <c r="W23" s="13">
        <v>1006</v>
      </c>
      <c r="X23" s="13">
        <v>2774</v>
      </c>
      <c r="Y23" s="13">
        <v>429</v>
      </c>
      <c r="Z23" s="13">
        <v>606</v>
      </c>
      <c r="AA23" s="13">
        <v>1454</v>
      </c>
      <c r="AB23" s="13">
        <v>1720</v>
      </c>
      <c r="AC23" s="13">
        <v>1159</v>
      </c>
      <c r="AD23" s="13">
        <v>910</v>
      </c>
      <c r="AE23" s="13">
        <v>2418</v>
      </c>
      <c r="AF23" s="13">
        <v>163</v>
      </c>
      <c r="AG23" s="13">
        <v>251</v>
      </c>
      <c r="AH23" s="13">
        <v>1151</v>
      </c>
      <c r="AI23" s="13">
        <v>1599</v>
      </c>
      <c r="AJ23" s="13">
        <v>216</v>
      </c>
      <c r="AK23" s="13">
        <v>1913</v>
      </c>
      <c r="AL23" s="13">
        <v>1566</v>
      </c>
      <c r="AM23" s="13">
        <v>2832</v>
      </c>
      <c r="AN23" s="13">
        <v>397</v>
      </c>
      <c r="AO23" s="13">
        <v>1555</v>
      </c>
      <c r="AP23" s="13">
        <v>2127</v>
      </c>
      <c r="AQ23" s="13">
        <v>1037</v>
      </c>
      <c r="AR23" s="13">
        <v>519</v>
      </c>
      <c r="AS23" s="13">
        <v>592</v>
      </c>
      <c r="AT23" s="13">
        <v>1599</v>
      </c>
      <c r="AU23" s="13">
        <v>546</v>
      </c>
      <c r="AV23" s="13">
        <v>2871</v>
      </c>
      <c r="AW23" s="13">
        <v>1376</v>
      </c>
      <c r="AX23" s="13">
        <v>245</v>
      </c>
      <c r="AY23" s="13">
        <v>405</v>
      </c>
      <c r="AZ23" s="13">
        <v>235</v>
      </c>
      <c r="BA23" s="13">
        <v>1782</v>
      </c>
      <c r="BB23" s="13">
        <v>1515</v>
      </c>
      <c r="BC23" s="13">
        <v>566</v>
      </c>
      <c r="BD23" s="13">
        <v>369</v>
      </c>
      <c r="BE23" s="13">
        <v>1220</v>
      </c>
      <c r="BF23" s="13">
        <v>828</v>
      </c>
      <c r="BG23" s="13">
        <v>373</v>
      </c>
      <c r="BH23" s="13">
        <v>2784</v>
      </c>
      <c r="BI23" s="13">
        <v>1066</v>
      </c>
      <c r="BJ23" s="13">
        <v>425</v>
      </c>
      <c r="BK23" s="13">
        <v>1779</v>
      </c>
      <c r="BL23" s="13">
        <v>1036</v>
      </c>
      <c r="BM23" s="13">
        <v>724</v>
      </c>
      <c r="BN23" s="13">
        <v>1081</v>
      </c>
      <c r="BO23" s="13">
        <v>2035</v>
      </c>
      <c r="BP23" s="13">
        <v>1267</v>
      </c>
      <c r="BQ23" s="13">
        <v>711</v>
      </c>
      <c r="BR23" s="13">
        <v>447</v>
      </c>
      <c r="BS23" s="13">
        <v>1147</v>
      </c>
      <c r="BT23" s="13">
        <v>1077</v>
      </c>
      <c r="BU23" s="13">
        <v>2192</v>
      </c>
      <c r="BV23" s="13">
        <v>678</v>
      </c>
      <c r="BW23" s="13">
        <v>929</v>
      </c>
      <c r="BX23" s="13">
        <v>1240</v>
      </c>
      <c r="BY23" s="13">
        <v>1646</v>
      </c>
      <c r="BZ23" s="13">
        <v>3063</v>
      </c>
      <c r="CA23" s="13">
        <v>493</v>
      </c>
      <c r="CB23" s="13">
        <v>1486</v>
      </c>
      <c r="CC23" s="13">
        <v>1631</v>
      </c>
      <c r="CD23" s="13">
        <v>1388</v>
      </c>
      <c r="CE23" s="13">
        <v>582</v>
      </c>
      <c r="CF23" s="13">
        <v>467</v>
      </c>
      <c r="CG23" s="13">
        <v>735</v>
      </c>
      <c r="CH23" s="13">
        <v>344</v>
      </c>
      <c r="CI23" s="13">
        <v>1634</v>
      </c>
      <c r="CJ23" s="13">
        <v>1379</v>
      </c>
      <c r="CK23" s="13">
        <v>2056</v>
      </c>
      <c r="CL23" s="13">
        <v>748</v>
      </c>
      <c r="CM23" s="13">
        <v>774</v>
      </c>
      <c r="CN23" s="13">
        <v>863</v>
      </c>
      <c r="CO23" s="13">
        <v>396</v>
      </c>
      <c r="CP23" s="13">
        <v>258</v>
      </c>
      <c r="CQ23" s="13">
        <v>943</v>
      </c>
      <c r="CR23" s="13">
        <v>735</v>
      </c>
      <c r="CS23" s="13">
        <v>520</v>
      </c>
      <c r="CT23" s="13">
        <v>491</v>
      </c>
      <c r="CU23" s="13">
        <v>823</v>
      </c>
      <c r="CV23" s="14">
        <v>101638</v>
      </c>
      <c r="CW23" s="13">
        <v>1780</v>
      </c>
      <c r="CX23" s="13">
        <v>1242</v>
      </c>
      <c r="CY23" s="13">
        <v>546</v>
      </c>
      <c r="CZ23" s="13">
        <v>1439</v>
      </c>
      <c r="DA23" s="13">
        <v>50</v>
      </c>
      <c r="DB23" s="14">
        <v>5057</v>
      </c>
      <c r="DC23" s="14">
        <v>106695</v>
      </c>
      <c r="DD23" s="13">
        <v>0</v>
      </c>
      <c r="DE23" s="13">
        <v>3</v>
      </c>
      <c r="DF23" s="13">
        <v>150</v>
      </c>
      <c r="DG23" s="13">
        <v>0</v>
      </c>
      <c r="DH23" s="13">
        <v>232</v>
      </c>
      <c r="DI23" s="13">
        <v>393</v>
      </c>
      <c r="DJ23" s="14">
        <v>778</v>
      </c>
      <c r="DK23" s="13">
        <v>9</v>
      </c>
      <c r="DL23" s="13">
        <v>26</v>
      </c>
      <c r="DM23" s="13">
        <v>0</v>
      </c>
      <c r="DN23" s="14">
        <v>107508</v>
      </c>
    </row>
    <row r="24" spans="1:118" x14ac:dyDescent="0.2">
      <c r="A24" s="10"/>
      <c r="B24" s="11" t="s">
        <v>364</v>
      </c>
      <c r="C24" s="12" t="s">
        <v>365</v>
      </c>
      <c r="D24" s="13">
        <v>1159</v>
      </c>
      <c r="E24" s="13">
        <v>1269</v>
      </c>
      <c r="F24" s="13">
        <v>270</v>
      </c>
      <c r="G24" s="13">
        <v>198</v>
      </c>
      <c r="H24" s="13">
        <v>170</v>
      </c>
      <c r="I24" s="13">
        <v>2666</v>
      </c>
      <c r="J24" s="13">
        <v>509</v>
      </c>
      <c r="K24" s="13">
        <v>219</v>
      </c>
      <c r="L24" s="13">
        <v>242</v>
      </c>
      <c r="M24" s="13">
        <v>458</v>
      </c>
      <c r="N24" s="13">
        <v>1028</v>
      </c>
      <c r="O24" s="13">
        <v>204</v>
      </c>
      <c r="P24" s="13">
        <v>3319</v>
      </c>
      <c r="Q24" s="13">
        <v>218</v>
      </c>
      <c r="R24" s="13">
        <v>526</v>
      </c>
      <c r="S24" s="13">
        <v>199</v>
      </c>
      <c r="T24" s="13">
        <v>688</v>
      </c>
      <c r="U24" s="13">
        <v>810</v>
      </c>
      <c r="V24" s="13">
        <v>266</v>
      </c>
      <c r="W24" s="13">
        <v>629</v>
      </c>
      <c r="X24" s="13">
        <v>1745</v>
      </c>
      <c r="Y24" s="13">
        <v>35</v>
      </c>
      <c r="Z24" s="13">
        <v>1372</v>
      </c>
      <c r="AA24" s="13">
        <v>226</v>
      </c>
      <c r="AB24" s="13">
        <v>887</v>
      </c>
      <c r="AC24" s="13">
        <v>1439</v>
      </c>
      <c r="AD24" s="13">
        <v>953</v>
      </c>
      <c r="AE24" s="13">
        <v>1411</v>
      </c>
      <c r="AF24" s="13">
        <v>157</v>
      </c>
      <c r="AG24" s="13">
        <v>100</v>
      </c>
      <c r="AH24" s="13">
        <v>1842</v>
      </c>
      <c r="AI24" s="13">
        <v>2048</v>
      </c>
      <c r="AJ24" s="13">
        <v>354</v>
      </c>
      <c r="AK24" s="13">
        <v>4861</v>
      </c>
      <c r="AL24" s="13">
        <v>1695</v>
      </c>
      <c r="AM24" s="13">
        <v>1580</v>
      </c>
      <c r="AN24" s="13">
        <v>302</v>
      </c>
      <c r="AO24" s="13">
        <v>1021</v>
      </c>
      <c r="AP24" s="13">
        <v>1964</v>
      </c>
      <c r="AQ24" s="13">
        <v>351</v>
      </c>
      <c r="AR24" s="13">
        <v>1118</v>
      </c>
      <c r="AS24" s="13">
        <v>388</v>
      </c>
      <c r="AT24" s="13">
        <v>447</v>
      </c>
      <c r="AU24" s="13">
        <v>311</v>
      </c>
      <c r="AV24" s="13">
        <v>2164</v>
      </c>
      <c r="AW24" s="13">
        <v>607</v>
      </c>
      <c r="AX24" s="13">
        <v>77</v>
      </c>
      <c r="AY24" s="13">
        <v>1056</v>
      </c>
      <c r="AZ24" s="13">
        <v>131</v>
      </c>
      <c r="BA24" s="13">
        <v>358</v>
      </c>
      <c r="BB24" s="13">
        <v>772</v>
      </c>
      <c r="BC24" s="13">
        <v>264</v>
      </c>
      <c r="BD24" s="13">
        <v>62</v>
      </c>
      <c r="BE24" s="13">
        <v>109</v>
      </c>
      <c r="BF24" s="13">
        <v>1257</v>
      </c>
      <c r="BG24" s="13">
        <v>174</v>
      </c>
      <c r="BH24" s="13">
        <v>1187</v>
      </c>
      <c r="BI24" s="13">
        <v>2971</v>
      </c>
      <c r="BJ24" s="13">
        <v>329</v>
      </c>
      <c r="BK24" s="13">
        <v>2120</v>
      </c>
      <c r="BL24" s="13">
        <v>2291</v>
      </c>
      <c r="BM24" s="13">
        <v>167</v>
      </c>
      <c r="BN24" s="13">
        <v>1732</v>
      </c>
      <c r="BO24" s="13">
        <v>948</v>
      </c>
      <c r="BP24" s="13">
        <v>728</v>
      </c>
      <c r="BQ24" s="13">
        <v>382</v>
      </c>
      <c r="BR24" s="13">
        <v>1396</v>
      </c>
      <c r="BS24" s="13">
        <v>1087</v>
      </c>
      <c r="BT24" s="13">
        <v>1527</v>
      </c>
      <c r="BU24" s="13">
        <v>1406</v>
      </c>
      <c r="BV24" s="13">
        <v>95</v>
      </c>
      <c r="BW24" s="13">
        <v>1383</v>
      </c>
      <c r="BX24" s="13">
        <v>520</v>
      </c>
      <c r="BY24" s="13">
        <v>369</v>
      </c>
      <c r="BZ24" s="13">
        <v>428</v>
      </c>
      <c r="CA24" s="13">
        <v>1629</v>
      </c>
      <c r="CB24" s="13">
        <v>2553</v>
      </c>
      <c r="CC24" s="13">
        <v>2623</v>
      </c>
      <c r="CD24" s="13">
        <v>2567</v>
      </c>
      <c r="CE24" s="13">
        <v>293</v>
      </c>
      <c r="CF24" s="13">
        <v>737</v>
      </c>
      <c r="CG24" s="13">
        <v>813</v>
      </c>
      <c r="CH24" s="13">
        <v>383</v>
      </c>
      <c r="CI24" s="13">
        <v>2381</v>
      </c>
      <c r="CJ24" s="13">
        <v>182</v>
      </c>
      <c r="CK24" s="13">
        <v>1494</v>
      </c>
      <c r="CL24" s="13">
        <v>1056</v>
      </c>
      <c r="CM24" s="13">
        <v>230</v>
      </c>
      <c r="CN24" s="13">
        <v>619</v>
      </c>
      <c r="CO24" s="13">
        <v>381</v>
      </c>
      <c r="CP24" s="13">
        <v>106</v>
      </c>
      <c r="CQ24" s="13">
        <v>2782</v>
      </c>
      <c r="CR24" s="13">
        <v>1736</v>
      </c>
      <c r="CS24" s="13">
        <v>1076</v>
      </c>
      <c r="CT24" s="13">
        <v>1745</v>
      </c>
      <c r="CU24" s="13">
        <v>2128</v>
      </c>
      <c r="CV24" s="14">
        <v>97265</v>
      </c>
      <c r="CW24" s="13">
        <v>138</v>
      </c>
      <c r="CX24" s="13">
        <v>246</v>
      </c>
      <c r="CY24" s="13">
        <v>132</v>
      </c>
      <c r="CZ24" s="13">
        <v>1566</v>
      </c>
      <c r="DA24" s="13">
        <v>24</v>
      </c>
      <c r="DB24" s="14">
        <v>2106</v>
      </c>
      <c r="DC24" s="14">
        <v>99371</v>
      </c>
      <c r="DD24" s="13">
        <v>2</v>
      </c>
      <c r="DE24" s="13">
        <v>0</v>
      </c>
      <c r="DF24" s="13">
        <v>1</v>
      </c>
      <c r="DG24" s="13">
        <v>0</v>
      </c>
      <c r="DH24" s="13">
        <v>20</v>
      </c>
      <c r="DI24" s="13">
        <v>29</v>
      </c>
      <c r="DJ24" s="14">
        <v>52</v>
      </c>
      <c r="DK24" s="13">
        <v>39</v>
      </c>
      <c r="DL24" s="13">
        <v>309</v>
      </c>
      <c r="DM24" s="13">
        <v>0</v>
      </c>
      <c r="DN24" s="14">
        <v>99771</v>
      </c>
    </row>
    <row r="25" spans="1:118" x14ac:dyDescent="0.2">
      <c r="A25" s="10"/>
      <c r="B25" s="11" t="s">
        <v>366</v>
      </c>
      <c r="C25" s="12" t="s">
        <v>367</v>
      </c>
      <c r="D25" s="13">
        <v>2206</v>
      </c>
      <c r="E25" s="13">
        <v>9</v>
      </c>
      <c r="F25" s="13">
        <v>45</v>
      </c>
      <c r="G25" s="13">
        <v>812</v>
      </c>
      <c r="H25" s="13">
        <v>4111</v>
      </c>
      <c r="I25" s="13">
        <v>3882</v>
      </c>
      <c r="J25" s="13">
        <v>494</v>
      </c>
      <c r="K25" s="13">
        <v>26</v>
      </c>
      <c r="L25" s="13">
        <v>1326</v>
      </c>
      <c r="M25" s="13">
        <v>20</v>
      </c>
      <c r="N25" s="13">
        <v>818</v>
      </c>
      <c r="O25" s="13">
        <v>483</v>
      </c>
      <c r="P25" s="13">
        <v>1195</v>
      </c>
      <c r="Q25" s="13">
        <v>27</v>
      </c>
      <c r="R25" s="13">
        <v>277</v>
      </c>
      <c r="S25" s="13">
        <v>23</v>
      </c>
      <c r="T25" s="13">
        <v>67</v>
      </c>
      <c r="U25" s="13">
        <v>34</v>
      </c>
      <c r="V25" s="13">
        <v>215</v>
      </c>
      <c r="W25" s="13">
        <v>296</v>
      </c>
      <c r="X25" s="13">
        <v>34</v>
      </c>
      <c r="Y25" s="13">
        <v>12</v>
      </c>
      <c r="Z25" s="13">
        <v>45</v>
      </c>
      <c r="AA25" s="13">
        <v>1599</v>
      </c>
      <c r="AB25" s="13">
        <v>1235</v>
      </c>
      <c r="AC25" s="13">
        <v>5</v>
      </c>
      <c r="AD25" s="13">
        <v>16</v>
      </c>
      <c r="AE25" s="13">
        <v>350</v>
      </c>
      <c r="AF25" s="13">
        <v>44</v>
      </c>
      <c r="AG25" s="13">
        <v>46</v>
      </c>
      <c r="AH25" s="13">
        <v>935</v>
      </c>
      <c r="AI25" s="13">
        <v>1660</v>
      </c>
      <c r="AJ25" s="13">
        <v>708</v>
      </c>
      <c r="AK25" s="13">
        <v>1075</v>
      </c>
      <c r="AL25" s="13">
        <v>527</v>
      </c>
      <c r="AM25" s="13">
        <v>100</v>
      </c>
      <c r="AN25" s="13">
        <v>10</v>
      </c>
      <c r="AO25" s="13">
        <v>19</v>
      </c>
      <c r="AP25" s="13">
        <v>10503</v>
      </c>
      <c r="AQ25" s="13">
        <v>1733</v>
      </c>
      <c r="AR25" s="13">
        <v>610</v>
      </c>
      <c r="AS25" s="13">
        <v>11</v>
      </c>
      <c r="AT25" s="13">
        <v>812</v>
      </c>
      <c r="AU25" s="13">
        <v>155</v>
      </c>
      <c r="AV25" s="13">
        <v>170</v>
      </c>
      <c r="AW25" s="13">
        <v>33</v>
      </c>
      <c r="AX25" s="13">
        <v>17</v>
      </c>
      <c r="AY25" s="13">
        <v>67</v>
      </c>
      <c r="AZ25" s="13">
        <v>150</v>
      </c>
      <c r="BA25" s="13">
        <v>17</v>
      </c>
      <c r="BB25" s="13">
        <v>12</v>
      </c>
      <c r="BC25" s="13">
        <v>29</v>
      </c>
      <c r="BD25" s="13">
        <v>5</v>
      </c>
      <c r="BE25" s="13">
        <v>123</v>
      </c>
      <c r="BF25" s="13">
        <v>332</v>
      </c>
      <c r="BG25" s="13">
        <v>8</v>
      </c>
      <c r="BH25" s="13">
        <v>64</v>
      </c>
      <c r="BI25" s="13">
        <v>380</v>
      </c>
      <c r="BJ25" s="13">
        <v>69</v>
      </c>
      <c r="BK25" s="13">
        <v>56</v>
      </c>
      <c r="BL25" s="13">
        <v>32</v>
      </c>
      <c r="BM25" s="13">
        <v>9</v>
      </c>
      <c r="BN25" s="13">
        <v>60</v>
      </c>
      <c r="BO25" s="13">
        <v>1333</v>
      </c>
      <c r="BP25" s="13">
        <v>1904</v>
      </c>
      <c r="BQ25" s="13">
        <v>1992</v>
      </c>
      <c r="BR25" s="13">
        <v>1310</v>
      </c>
      <c r="BS25" s="13">
        <v>1974</v>
      </c>
      <c r="BT25" s="13">
        <v>2546</v>
      </c>
      <c r="BU25" s="13">
        <v>1542</v>
      </c>
      <c r="BV25" s="13">
        <v>331</v>
      </c>
      <c r="BW25" s="13">
        <v>458</v>
      </c>
      <c r="BX25" s="13">
        <v>16</v>
      </c>
      <c r="BY25" s="13">
        <v>11623</v>
      </c>
      <c r="BZ25" s="13">
        <v>19965</v>
      </c>
      <c r="CA25" s="13">
        <v>429</v>
      </c>
      <c r="CB25" s="13">
        <v>32</v>
      </c>
      <c r="CC25" s="13">
        <v>115</v>
      </c>
      <c r="CD25" s="13">
        <v>158</v>
      </c>
      <c r="CE25" s="13">
        <v>22</v>
      </c>
      <c r="CF25" s="13">
        <v>6</v>
      </c>
      <c r="CG25" s="13">
        <v>60</v>
      </c>
      <c r="CH25" s="13">
        <v>52</v>
      </c>
      <c r="CI25" s="13">
        <v>981</v>
      </c>
      <c r="CJ25" s="13">
        <v>331</v>
      </c>
      <c r="CK25" s="13">
        <v>25</v>
      </c>
      <c r="CL25" s="13">
        <v>122</v>
      </c>
      <c r="CM25" s="13">
        <v>46</v>
      </c>
      <c r="CN25" s="13">
        <v>1486</v>
      </c>
      <c r="CO25" s="13">
        <v>27</v>
      </c>
      <c r="CP25" s="13">
        <v>245</v>
      </c>
      <c r="CQ25" s="13">
        <v>154</v>
      </c>
      <c r="CR25" s="13">
        <v>225</v>
      </c>
      <c r="CS25" s="13">
        <v>27</v>
      </c>
      <c r="CT25" s="13">
        <v>96</v>
      </c>
      <c r="CU25" s="13">
        <v>42</v>
      </c>
      <c r="CV25" s="14">
        <v>89918</v>
      </c>
      <c r="CW25" s="13">
        <v>1</v>
      </c>
      <c r="CX25" s="13">
        <v>2</v>
      </c>
      <c r="CY25" s="13">
        <v>0</v>
      </c>
      <c r="CZ25" s="13">
        <v>11</v>
      </c>
      <c r="DA25" s="13">
        <v>1</v>
      </c>
      <c r="DB25" s="14">
        <v>15</v>
      </c>
      <c r="DC25" s="14">
        <v>89933</v>
      </c>
      <c r="DD25" s="13">
        <v>0</v>
      </c>
      <c r="DE25" s="13">
        <v>1</v>
      </c>
      <c r="DF25" s="13">
        <v>0</v>
      </c>
      <c r="DG25" s="13">
        <v>0</v>
      </c>
      <c r="DH25" s="13">
        <v>1</v>
      </c>
      <c r="DI25" s="13">
        <v>5</v>
      </c>
      <c r="DJ25" s="14">
        <v>7</v>
      </c>
      <c r="DK25" s="13">
        <v>151</v>
      </c>
      <c r="DL25" s="13">
        <v>2776</v>
      </c>
      <c r="DM25" s="13">
        <v>0</v>
      </c>
      <c r="DN25" s="14">
        <v>92867</v>
      </c>
    </row>
    <row r="26" spans="1:118" x14ac:dyDescent="0.2">
      <c r="A26" s="10"/>
      <c r="B26" s="11" t="s">
        <v>368</v>
      </c>
      <c r="C26" s="12" t="s">
        <v>369</v>
      </c>
      <c r="D26" s="13">
        <v>816</v>
      </c>
      <c r="E26" s="13">
        <v>1242</v>
      </c>
      <c r="F26" s="13">
        <v>409</v>
      </c>
      <c r="G26" s="13">
        <v>279</v>
      </c>
      <c r="H26" s="13">
        <v>219</v>
      </c>
      <c r="I26" s="13">
        <v>616</v>
      </c>
      <c r="J26" s="13">
        <v>367</v>
      </c>
      <c r="K26" s="13">
        <v>193</v>
      </c>
      <c r="L26" s="13">
        <v>89</v>
      </c>
      <c r="M26" s="13">
        <v>379</v>
      </c>
      <c r="N26" s="13">
        <v>374</v>
      </c>
      <c r="O26" s="13">
        <v>486</v>
      </c>
      <c r="P26" s="13">
        <v>1474</v>
      </c>
      <c r="Q26" s="13">
        <v>1020</v>
      </c>
      <c r="R26" s="13">
        <v>157</v>
      </c>
      <c r="S26" s="13">
        <v>411</v>
      </c>
      <c r="T26" s="13">
        <v>920</v>
      </c>
      <c r="U26" s="13">
        <v>562</v>
      </c>
      <c r="V26" s="13">
        <v>217</v>
      </c>
      <c r="W26" s="13">
        <v>767</v>
      </c>
      <c r="X26" s="13">
        <v>772</v>
      </c>
      <c r="Y26" s="13">
        <v>51</v>
      </c>
      <c r="Z26" s="13">
        <v>313</v>
      </c>
      <c r="AA26" s="13">
        <v>391</v>
      </c>
      <c r="AB26" s="13">
        <v>523</v>
      </c>
      <c r="AC26" s="13">
        <v>870</v>
      </c>
      <c r="AD26" s="13">
        <v>914</v>
      </c>
      <c r="AE26" s="13">
        <v>1441</v>
      </c>
      <c r="AF26" s="13">
        <v>122</v>
      </c>
      <c r="AG26" s="13">
        <v>176</v>
      </c>
      <c r="AH26" s="13">
        <v>1051</v>
      </c>
      <c r="AI26" s="13">
        <v>1373</v>
      </c>
      <c r="AJ26" s="13">
        <v>363</v>
      </c>
      <c r="AK26" s="13">
        <v>1703</v>
      </c>
      <c r="AL26" s="13">
        <v>1100</v>
      </c>
      <c r="AM26" s="13">
        <v>2008</v>
      </c>
      <c r="AN26" s="13">
        <v>325</v>
      </c>
      <c r="AO26" s="13">
        <v>990</v>
      </c>
      <c r="AP26" s="13">
        <v>1853</v>
      </c>
      <c r="AQ26" s="13">
        <v>362</v>
      </c>
      <c r="AR26" s="13">
        <v>543</v>
      </c>
      <c r="AS26" s="13">
        <v>541</v>
      </c>
      <c r="AT26" s="13">
        <v>694</v>
      </c>
      <c r="AU26" s="13">
        <v>353</v>
      </c>
      <c r="AV26" s="13">
        <v>1773</v>
      </c>
      <c r="AW26" s="13">
        <v>1283</v>
      </c>
      <c r="AX26" s="13">
        <v>310</v>
      </c>
      <c r="AY26" s="13">
        <v>512</v>
      </c>
      <c r="AZ26" s="13">
        <v>276</v>
      </c>
      <c r="BA26" s="13">
        <v>877</v>
      </c>
      <c r="BB26" s="13">
        <v>913</v>
      </c>
      <c r="BC26" s="13">
        <v>711</v>
      </c>
      <c r="BD26" s="13">
        <v>176</v>
      </c>
      <c r="BE26" s="13">
        <v>365</v>
      </c>
      <c r="BF26" s="13">
        <v>958</v>
      </c>
      <c r="BG26" s="13">
        <v>249</v>
      </c>
      <c r="BH26" s="13">
        <v>1134</v>
      </c>
      <c r="BI26" s="13">
        <v>819</v>
      </c>
      <c r="BJ26" s="13">
        <v>136</v>
      </c>
      <c r="BK26" s="13">
        <v>1798</v>
      </c>
      <c r="BL26" s="13">
        <v>1971</v>
      </c>
      <c r="BM26" s="13">
        <v>255</v>
      </c>
      <c r="BN26" s="13">
        <v>952</v>
      </c>
      <c r="BO26" s="13">
        <v>982</v>
      </c>
      <c r="BP26" s="13">
        <v>523</v>
      </c>
      <c r="BQ26" s="13">
        <v>206</v>
      </c>
      <c r="BR26" s="13">
        <v>484</v>
      </c>
      <c r="BS26" s="13">
        <v>755</v>
      </c>
      <c r="BT26" s="13">
        <v>681</v>
      </c>
      <c r="BU26" s="13">
        <v>1993</v>
      </c>
      <c r="BV26" s="13">
        <v>392</v>
      </c>
      <c r="BW26" s="13">
        <v>688</v>
      </c>
      <c r="BX26" s="13">
        <v>574</v>
      </c>
      <c r="BY26" s="13">
        <v>603</v>
      </c>
      <c r="BZ26" s="13">
        <v>1018</v>
      </c>
      <c r="CA26" s="13">
        <v>779</v>
      </c>
      <c r="CB26" s="13">
        <v>1530</v>
      </c>
      <c r="CC26" s="13">
        <v>2437</v>
      </c>
      <c r="CD26" s="13">
        <v>2568</v>
      </c>
      <c r="CE26" s="13">
        <v>463</v>
      </c>
      <c r="CF26" s="13">
        <v>687</v>
      </c>
      <c r="CG26" s="13">
        <v>320</v>
      </c>
      <c r="CH26" s="13">
        <v>461</v>
      </c>
      <c r="CI26" s="13">
        <v>1330</v>
      </c>
      <c r="CJ26" s="13">
        <v>633</v>
      </c>
      <c r="CK26" s="13">
        <v>1085</v>
      </c>
      <c r="CL26" s="13">
        <v>570</v>
      </c>
      <c r="CM26" s="13">
        <v>147</v>
      </c>
      <c r="CN26" s="13">
        <v>360</v>
      </c>
      <c r="CO26" s="13">
        <v>567</v>
      </c>
      <c r="CP26" s="13">
        <v>277</v>
      </c>
      <c r="CQ26" s="13">
        <v>1812</v>
      </c>
      <c r="CR26" s="13">
        <v>1814</v>
      </c>
      <c r="CS26" s="13">
        <v>1095</v>
      </c>
      <c r="CT26" s="13">
        <v>1427</v>
      </c>
      <c r="CU26" s="13">
        <v>1564</v>
      </c>
      <c r="CV26" s="14">
        <v>76122</v>
      </c>
      <c r="CW26" s="13">
        <v>77</v>
      </c>
      <c r="CX26" s="13">
        <v>125</v>
      </c>
      <c r="CY26" s="13">
        <v>72</v>
      </c>
      <c r="CZ26" s="13">
        <v>376</v>
      </c>
      <c r="DA26" s="13">
        <v>7</v>
      </c>
      <c r="DB26" s="14">
        <v>657</v>
      </c>
      <c r="DC26" s="14">
        <v>76779</v>
      </c>
      <c r="DD26" s="13">
        <v>39</v>
      </c>
      <c r="DE26" s="13">
        <v>28</v>
      </c>
      <c r="DF26" s="13">
        <v>53</v>
      </c>
      <c r="DG26" s="13">
        <v>0</v>
      </c>
      <c r="DH26" s="13">
        <v>0</v>
      </c>
      <c r="DI26" s="13">
        <v>241</v>
      </c>
      <c r="DJ26" s="14">
        <v>361</v>
      </c>
      <c r="DK26" s="13">
        <v>11</v>
      </c>
      <c r="DL26" s="13">
        <v>0</v>
      </c>
      <c r="DM26" s="13">
        <v>0</v>
      </c>
      <c r="DN26" s="14">
        <v>77151</v>
      </c>
    </row>
    <row r="27" spans="1:118" x14ac:dyDescent="0.2">
      <c r="A27" s="10"/>
      <c r="B27" s="11" t="s">
        <v>370</v>
      </c>
      <c r="C27" s="12" t="s">
        <v>371</v>
      </c>
      <c r="D27" s="13">
        <v>481</v>
      </c>
      <c r="E27" s="13">
        <v>72</v>
      </c>
      <c r="F27" s="13">
        <v>199</v>
      </c>
      <c r="G27" s="13">
        <v>119</v>
      </c>
      <c r="H27" s="13">
        <v>244</v>
      </c>
      <c r="I27" s="13">
        <v>460</v>
      </c>
      <c r="J27" s="13">
        <v>150</v>
      </c>
      <c r="K27" s="13">
        <v>263</v>
      </c>
      <c r="L27" s="13">
        <v>150</v>
      </c>
      <c r="M27" s="13">
        <v>249</v>
      </c>
      <c r="N27" s="13">
        <v>168</v>
      </c>
      <c r="O27" s="13">
        <v>283</v>
      </c>
      <c r="P27" s="13">
        <v>1387</v>
      </c>
      <c r="Q27" s="13">
        <v>663</v>
      </c>
      <c r="R27" s="13">
        <v>8</v>
      </c>
      <c r="S27" s="13">
        <v>376</v>
      </c>
      <c r="T27" s="13">
        <v>1179</v>
      </c>
      <c r="U27" s="13">
        <v>317</v>
      </c>
      <c r="V27" s="13">
        <v>145</v>
      </c>
      <c r="W27" s="13">
        <v>720</v>
      </c>
      <c r="X27" s="13">
        <v>1890</v>
      </c>
      <c r="Y27" s="13">
        <v>9</v>
      </c>
      <c r="Z27" s="13">
        <v>390</v>
      </c>
      <c r="AA27" s="13">
        <v>463</v>
      </c>
      <c r="AB27" s="13">
        <v>519</v>
      </c>
      <c r="AC27" s="13">
        <v>379</v>
      </c>
      <c r="AD27" s="13">
        <v>173</v>
      </c>
      <c r="AE27" s="13">
        <v>2651</v>
      </c>
      <c r="AF27" s="13">
        <v>97</v>
      </c>
      <c r="AG27" s="13">
        <v>54</v>
      </c>
      <c r="AH27" s="13">
        <v>981</v>
      </c>
      <c r="AI27" s="13">
        <v>2753</v>
      </c>
      <c r="AJ27" s="13">
        <v>92</v>
      </c>
      <c r="AK27" s="13">
        <v>3993</v>
      </c>
      <c r="AL27" s="13">
        <v>955</v>
      </c>
      <c r="AM27" s="13">
        <v>1776</v>
      </c>
      <c r="AN27" s="13">
        <v>182</v>
      </c>
      <c r="AO27" s="13">
        <v>816</v>
      </c>
      <c r="AP27" s="13">
        <v>1761</v>
      </c>
      <c r="AQ27" s="13">
        <v>316</v>
      </c>
      <c r="AR27" s="13">
        <v>520</v>
      </c>
      <c r="AS27" s="13">
        <v>294</v>
      </c>
      <c r="AT27" s="13">
        <v>350</v>
      </c>
      <c r="AU27" s="13">
        <v>22</v>
      </c>
      <c r="AV27" s="13">
        <v>4896</v>
      </c>
      <c r="AW27" s="13">
        <v>971</v>
      </c>
      <c r="AX27" s="13">
        <v>11</v>
      </c>
      <c r="AY27" s="13">
        <v>231</v>
      </c>
      <c r="AZ27" s="13">
        <v>75</v>
      </c>
      <c r="BA27" s="13">
        <v>727</v>
      </c>
      <c r="BB27" s="13">
        <v>736</v>
      </c>
      <c r="BC27" s="13">
        <v>981</v>
      </c>
      <c r="BD27" s="13">
        <v>20</v>
      </c>
      <c r="BE27" s="13">
        <v>387</v>
      </c>
      <c r="BF27" s="13">
        <v>393</v>
      </c>
      <c r="BG27" s="13">
        <v>57</v>
      </c>
      <c r="BH27" s="13">
        <v>1609</v>
      </c>
      <c r="BI27" s="13">
        <v>496</v>
      </c>
      <c r="BJ27" s="13">
        <v>202</v>
      </c>
      <c r="BK27" s="13">
        <v>1383</v>
      </c>
      <c r="BL27" s="13">
        <v>577</v>
      </c>
      <c r="BM27" s="13">
        <v>326</v>
      </c>
      <c r="BN27" s="13">
        <v>646</v>
      </c>
      <c r="BO27" s="13">
        <v>700</v>
      </c>
      <c r="BP27" s="13">
        <v>1332</v>
      </c>
      <c r="BQ27" s="13">
        <v>387</v>
      </c>
      <c r="BR27" s="13">
        <v>270</v>
      </c>
      <c r="BS27" s="13">
        <v>656</v>
      </c>
      <c r="BT27" s="13">
        <v>319</v>
      </c>
      <c r="BU27" s="13">
        <v>1460</v>
      </c>
      <c r="BV27" s="13">
        <v>139</v>
      </c>
      <c r="BW27" s="13">
        <v>543</v>
      </c>
      <c r="BX27" s="13">
        <v>890</v>
      </c>
      <c r="BY27" s="13">
        <v>721</v>
      </c>
      <c r="BZ27" s="13">
        <v>1117</v>
      </c>
      <c r="CA27" s="13">
        <v>947</v>
      </c>
      <c r="CB27" s="13">
        <v>1505</v>
      </c>
      <c r="CC27" s="13">
        <v>1946</v>
      </c>
      <c r="CD27" s="13">
        <v>1191</v>
      </c>
      <c r="CE27" s="13">
        <v>836</v>
      </c>
      <c r="CF27" s="13">
        <v>464</v>
      </c>
      <c r="CG27" s="13">
        <v>909</v>
      </c>
      <c r="CH27" s="13">
        <v>307</v>
      </c>
      <c r="CI27" s="13">
        <v>739</v>
      </c>
      <c r="CJ27" s="13">
        <v>255</v>
      </c>
      <c r="CK27" s="13">
        <v>1570</v>
      </c>
      <c r="CL27" s="13">
        <v>353</v>
      </c>
      <c r="CM27" s="13">
        <v>324</v>
      </c>
      <c r="CN27" s="13">
        <v>127</v>
      </c>
      <c r="CO27" s="13">
        <v>162</v>
      </c>
      <c r="CP27" s="13">
        <v>70</v>
      </c>
      <c r="CQ27" s="13">
        <v>2242</v>
      </c>
      <c r="CR27" s="13">
        <v>1009</v>
      </c>
      <c r="CS27" s="13">
        <v>1625</v>
      </c>
      <c r="CT27" s="13">
        <v>1069</v>
      </c>
      <c r="CU27" s="13">
        <v>942</v>
      </c>
      <c r="CV27" s="14">
        <v>70919</v>
      </c>
      <c r="CW27" s="13">
        <v>84</v>
      </c>
      <c r="CX27" s="13">
        <v>68</v>
      </c>
      <c r="CY27" s="13">
        <v>173</v>
      </c>
      <c r="CZ27" s="13">
        <v>802</v>
      </c>
      <c r="DA27" s="13">
        <v>0</v>
      </c>
      <c r="DB27" s="14">
        <v>1127</v>
      </c>
      <c r="DC27" s="14">
        <v>72046</v>
      </c>
      <c r="DD27" s="13">
        <v>0</v>
      </c>
      <c r="DE27" s="13">
        <v>0</v>
      </c>
      <c r="DF27" s="13">
        <v>0</v>
      </c>
      <c r="DG27" s="13">
        <v>0</v>
      </c>
      <c r="DH27" s="13">
        <v>0</v>
      </c>
      <c r="DI27" s="13">
        <v>123</v>
      </c>
      <c r="DJ27" s="14">
        <v>123</v>
      </c>
      <c r="DK27" s="13">
        <v>1</v>
      </c>
      <c r="DL27" s="13">
        <v>1</v>
      </c>
      <c r="DM27" s="13">
        <v>0</v>
      </c>
      <c r="DN27" s="14">
        <v>72171</v>
      </c>
    </row>
    <row r="28" spans="1:118" x14ac:dyDescent="0.2">
      <c r="A28" s="10"/>
      <c r="B28" s="11" t="s">
        <v>372</v>
      </c>
      <c r="C28" s="12" t="s">
        <v>373</v>
      </c>
      <c r="D28" s="13">
        <v>445</v>
      </c>
      <c r="E28" s="13">
        <v>576</v>
      </c>
      <c r="F28" s="13">
        <v>606</v>
      </c>
      <c r="G28" s="13">
        <v>370</v>
      </c>
      <c r="H28" s="13">
        <v>51</v>
      </c>
      <c r="I28" s="13">
        <v>1630</v>
      </c>
      <c r="J28" s="13">
        <v>311</v>
      </c>
      <c r="K28" s="13">
        <v>356</v>
      </c>
      <c r="L28" s="13">
        <v>118</v>
      </c>
      <c r="M28" s="13">
        <v>115</v>
      </c>
      <c r="N28" s="13">
        <v>379</v>
      </c>
      <c r="O28" s="13">
        <v>162</v>
      </c>
      <c r="P28" s="13">
        <v>2684</v>
      </c>
      <c r="Q28" s="13">
        <v>942</v>
      </c>
      <c r="R28" s="13">
        <v>3</v>
      </c>
      <c r="S28" s="13">
        <v>126</v>
      </c>
      <c r="T28" s="13">
        <v>776</v>
      </c>
      <c r="U28" s="13">
        <v>445</v>
      </c>
      <c r="V28" s="13">
        <v>601</v>
      </c>
      <c r="W28" s="13">
        <v>458</v>
      </c>
      <c r="X28" s="13">
        <v>667</v>
      </c>
      <c r="Y28" s="13">
        <v>123</v>
      </c>
      <c r="Z28" s="13">
        <v>675</v>
      </c>
      <c r="AA28" s="13">
        <v>656</v>
      </c>
      <c r="AB28" s="13">
        <v>345</v>
      </c>
      <c r="AC28" s="13">
        <v>330</v>
      </c>
      <c r="AD28" s="13">
        <v>419</v>
      </c>
      <c r="AE28" s="13">
        <v>329</v>
      </c>
      <c r="AF28" s="13">
        <v>214</v>
      </c>
      <c r="AG28" s="13">
        <v>177</v>
      </c>
      <c r="AH28" s="13">
        <v>654</v>
      </c>
      <c r="AI28" s="13">
        <v>2257</v>
      </c>
      <c r="AJ28" s="13">
        <v>129</v>
      </c>
      <c r="AK28" s="13">
        <v>3005</v>
      </c>
      <c r="AL28" s="13">
        <v>1281</v>
      </c>
      <c r="AM28" s="13">
        <v>666</v>
      </c>
      <c r="AN28" s="13">
        <v>323</v>
      </c>
      <c r="AO28" s="13">
        <v>538</v>
      </c>
      <c r="AP28" s="13">
        <v>1286</v>
      </c>
      <c r="AQ28" s="13">
        <v>192</v>
      </c>
      <c r="AR28" s="13">
        <v>709</v>
      </c>
      <c r="AS28" s="13">
        <v>696</v>
      </c>
      <c r="AT28" s="13">
        <v>1304</v>
      </c>
      <c r="AU28" s="13">
        <v>367</v>
      </c>
      <c r="AV28" s="13">
        <v>1764</v>
      </c>
      <c r="AW28" s="13">
        <v>747</v>
      </c>
      <c r="AX28" s="13">
        <v>152</v>
      </c>
      <c r="AY28" s="13">
        <v>481</v>
      </c>
      <c r="AZ28" s="13">
        <v>29</v>
      </c>
      <c r="BA28" s="13">
        <v>759</v>
      </c>
      <c r="BB28" s="13">
        <v>655</v>
      </c>
      <c r="BC28" s="13">
        <v>420</v>
      </c>
      <c r="BD28" s="13">
        <v>379</v>
      </c>
      <c r="BE28" s="13">
        <v>575</v>
      </c>
      <c r="BF28" s="13">
        <v>1205</v>
      </c>
      <c r="BG28" s="13">
        <v>209</v>
      </c>
      <c r="BH28" s="13">
        <v>919</v>
      </c>
      <c r="BI28" s="13">
        <v>2060</v>
      </c>
      <c r="BJ28" s="13">
        <v>367</v>
      </c>
      <c r="BK28" s="13">
        <v>2281</v>
      </c>
      <c r="BL28" s="13">
        <v>1526</v>
      </c>
      <c r="BM28" s="13">
        <v>225</v>
      </c>
      <c r="BN28" s="13">
        <v>2138</v>
      </c>
      <c r="BO28" s="13">
        <v>889</v>
      </c>
      <c r="BP28" s="13">
        <v>992</v>
      </c>
      <c r="BQ28" s="13">
        <v>406</v>
      </c>
      <c r="BR28" s="13">
        <v>764</v>
      </c>
      <c r="BS28" s="13">
        <v>872</v>
      </c>
      <c r="BT28" s="13">
        <v>719</v>
      </c>
      <c r="BU28" s="13">
        <v>957</v>
      </c>
      <c r="BV28" s="13">
        <v>122</v>
      </c>
      <c r="BW28" s="13">
        <v>353</v>
      </c>
      <c r="BX28" s="13">
        <v>362</v>
      </c>
      <c r="BY28" s="13">
        <v>259</v>
      </c>
      <c r="BZ28" s="13">
        <v>1071</v>
      </c>
      <c r="CA28" s="13">
        <v>959</v>
      </c>
      <c r="CB28" s="13">
        <v>1167</v>
      </c>
      <c r="CC28" s="13">
        <v>875</v>
      </c>
      <c r="CD28" s="13">
        <v>1061</v>
      </c>
      <c r="CE28" s="13">
        <v>232</v>
      </c>
      <c r="CF28" s="13">
        <v>376</v>
      </c>
      <c r="CG28" s="13">
        <v>487</v>
      </c>
      <c r="CH28" s="13">
        <v>84</v>
      </c>
      <c r="CI28" s="13">
        <v>1018</v>
      </c>
      <c r="CJ28" s="13">
        <v>311</v>
      </c>
      <c r="CK28" s="13">
        <v>582</v>
      </c>
      <c r="CL28" s="13">
        <v>624</v>
      </c>
      <c r="CM28" s="13">
        <v>334</v>
      </c>
      <c r="CN28" s="13">
        <v>17</v>
      </c>
      <c r="CO28" s="13">
        <v>164</v>
      </c>
      <c r="CP28" s="13">
        <v>76</v>
      </c>
      <c r="CQ28" s="13">
        <v>1201</v>
      </c>
      <c r="CR28" s="13">
        <v>1653</v>
      </c>
      <c r="CS28" s="13">
        <v>1081</v>
      </c>
      <c r="CT28" s="13">
        <v>1187</v>
      </c>
      <c r="CU28" s="13">
        <v>1034</v>
      </c>
      <c r="CV28" s="14">
        <v>67676</v>
      </c>
      <c r="CW28" s="13">
        <v>329</v>
      </c>
      <c r="CX28" s="13">
        <v>289</v>
      </c>
      <c r="CY28" s="13">
        <v>236</v>
      </c>
      <c r="CZ28" s="13">
        <v>806</v>
      </c>
      <c r="DA28" s="13">
        <v>7</v>
      </c>
      <c r="DB28" s="14">
        <v>1667</v>
      </c>
      <c r="DC28" s="14">
        <v>69343</v>
      </c>
      <c r="DD28" s="13">
        <v>15</v>
      </c>
      <c r="DE28" s="13">
        <v>0</v>
      </c>
      <c r="DF28" s="13">
        <v>63</v>
      </c>
      <c r="DG28" s="13">
        <v>11</v>
      </c>
      <c r="DH28" s="13">
        <v>3</v>
      </c>
      <c r="DI28" s="13">
        <v>314</v>
      </c>
      <c r="DJ28" s="14">
        <v>406</v>
      </c>
      <c r="DK28" s="13">
        <v>5</v>
      </c>
      <c r="DL28" s="13">
        <v>4</v>
      </c>
      <c r="DM28" s="13">
        <v>0</v>
      </c>
      <c r="DN28" s="14">
        <v>69758</v>
      </c>
    </row>
    <row r="29" spans="1:118" x14ac:dyDescent="0.2">
      <c r="A29" s="10"/>
      <c r="B29" s="11" t="s">
        <v>374</v>
      </c>
      <c r="C29" s="12" t="s">
        <v>375</v>
      </c>
      <c r="D29" s="13">
        <v>680</v>
      </c>
      <c r="E29" s="13">
        <v>310</v>
      </c>
      <c r="F29" s="13">
        <v>687</v>
      </c>
      <c r="G29" s="13">
        <v>169</v>
      </c>
      <c r="H29" s="13">
        <v>255</v>
      </c>
      <c r="I29" s="13">
        <v>1380</v>
      </c>
      <c r="J29" s="13">
        <v>609</v>
      </c>
      <c r="K29" s="13">
        <v>120</v>
      </c>
      <c r="L29" s="13">
        <v>43</v>
      </c>
      <c r="M29" s="13">
        <v>592</v>
      </c>
      <c r="N29" s="13">
        <v>288</v>
      </c>
      <c r="O29" s="13">
        <v>274</v>
      </c>
      <c r="P29" s="13">
        <v>1777</v>
      </c>
      <c r="Q29" s="13">
        <v>818</v>
      </c>
      <c r="R29" s="13">
        <v>84</v>
      </c>
      <c r="S29" s="13">
        <v>231</v>
      </c>
      <c r="T29" s="13">
        <v>912</v>
      </c>
      <c r="U29" s="13">
        <v>278</v>
      </c>
      <c r="V29" s="13">
        <v>342</v>
      </c>
      <c r="W29" s="13">
        <v>852</v>
      </c>
      <c r="X29" s="13">
        <v>478</v>
      </c>
      <c r="Y29" s="13">
        <v>128</v>
      </c>
      <c r="Z29" s="13">
        <v>524</v>
      </c>
      <c r="AA29" s="13">
        <v>435</v>
      </c>
      <c r="AB29" s="13">
        <v>880</v>
      </c>
      <c r="AC29" s="13">
        <v>594</v>
      </c>
      <c r="AD29" s="13">
        <v>259</v>
      </c>
      <c r="AE29" s="13">
        <v>775</v>
      </c>
      <c r="AF29" s="13">
        <v>285</v>
      </c>
      <c r="AG29" s="13">
        <v>136</v>
      </c>
      <c r="AH29" s="13">
        <v>399</v>
      </c>
      <c r="AI29" s="13">
        <v>1583</v>
      </c>
      <c r="AJ29" s="13">
        <v>97</v>
      </c>
      <c r="AK29" s="13">
        <v>1699</v>
      </c>
      <c r="AL29" s="13">
        <v>747</v>
      </c>
      <c r="AM29" s="13">
        <v>1323</v>
      </c>
      <c r="AN29" s="13">
        <v>165</v>
      </c>
      <c r="AO29" s="13">
        <v>684</v>
      </c>
      <c r="AP29" s="13">
        <v>1343</v>
      </c>
      <c r="AQ29" s="13">
        <v>316</v>
      </c>
      <c r="AR29" s="13">
        <v>303</v>
      </c>
      <c r="AS29" s="13">
        <v>530</v>
      </c>
      <c r="AT29" s="13">
        <v>392</v>
      </c>
      <c r="AU29" s="13">
        <v>251</v>
      </c>
      <c r="AV29" s="13">
        <v>2059</v>
      </c>
      <c r="AW29" s="13">
        <v>419</v>
      </c>
      <c r="AX29" s="13">
        <v>104</v>
      </c>
      <c r="AY29" s="13">
        <v>307</v>
      </c>
      <c r="AZ29" s="13">
        <v>114</v>
      </c>
      <c r="BA29" s="13">
        <v>897</v>
      </c>
      <c r="BB29" s="13">
        <v>384</v>
      </c>
      <c r="BC29" s="13">
        <v>476</v>
      </c>
      <c r="BD29" s="13">
        <v>221</v>
      </c>
      <c r="BE29" s="13">
        <v>532</v>
      </c>
      <c r="BF29" s="13">
        <v>883</v>
      </c>
      <c r="BG29" s="13">
        <v>97</v>
      </c>
      <c r="BH29" s="13">
        <v>1033</v>
      </c>
      <c r="BI29" s="13">
        <v>991</v>
      </c>
      <c r="BJ29" s="13">
        <v>317</v>
      </c>
      <c r="BK29" s="13">
        <v>2189</v>
      </c>
      <c r="BL29" s="13">
        <v>772</v>
      </c>
      <c r="BM29" s="13">
        <v>248</v>
      </c>
      <c r="BN29" s="13">
        <v>1333</v>
      </c>
      <c r="BO29" s="13">
        <v>642</v>
      </c>
      <c r="BP29" s="13">
        <v>936</v>
      </c>
      <c r="BQ29" s="13">
        <v>240</v>
      </c>
      <c r="BR29" s="13">
        <v>268</v>
      </c>
      <c r="BS29" s="13">
        <v>1008</v>
      </c>
      <c r="BT29" s="13">
        <v>565</v>
      </c>
      <c r="BU29" s="13">
        <v>1483</v>
      </c>
      <c r="BV29" s="13">
        <v>294</v>
      </c>
      <c r="BW29" s="13">
        <v>589</v>
      </c>
      <c r="BX29" s="13">
        <v>705</v>
      </c>
      <c r="BY29" s="13">
        <v>593</v>
      </c>
      <c r="BZ29" s="13">
        <v>923</v>
      </c>
      <c r="CA29" s="13">
        <v>1436</v>
      </c>
      <c r="CB29" s="13">
        <v>1037</v>
      </c>
      <c r="CC29" s="13">
        <v>1071</v>
      </c>
      <c r="CD29" s="13">
        <v>1652</v>
      </c>
      <c r="CE29" s="13">
        <v>296</v>
      </c>
      <c r="CF29" s="13">
        <v>403</v>
      </c>
      <c r="CG29" s="13">
        <v>388</v>
      </c>
      <c r="CH29" s="13">
        <v>174</v>
      </c>
      <c r="CI29" s="13">
        <v>1002</v>
      </c>
      <c r="CJ29" s="13">
        <v>660</v>
      </c>
      <c r="CK29" s="13">
        <v>1385</v>
      </c>
      <c r="CL29" s="13">
        <v>375</v>
      </c>
      <c r="CM29" s="13">
        <v>244</v>
      </c>
      <c r="CN29" s="13">
        <v>760</v>
      </c>
      <c r="CO29" s="13">
        <v>288</v>
      </c>
      <c r="CP29" s="13">
        <v>210</v>
      </c>
      <c r="CQ29" s="13">
        <v>1215</v>
      </c>
      <c r="CR29" s="13">
        <v>2123</v>
      </c>
      <c r="CS29" s="13">
        <v>492</v>
      </c>
      <c r="CT29" s="13">
        <v>1117</v>
      </c>
      <c r="CU29" s="13">
        <v>713</v>
      </c>
      <c r="CV29" s="14">
        <v>63690</v>
      </c>
      <c r="CW29" s="13">
        <v>260</v>
      </c>
      <c r="CX29" s="13">
        <v>152</v>
      </c>
      <c r="CY29" s="13">
        <v>2</v>
      </c>
      <c r="CZ29" s="13">
        <v>797</v>
      </c>
      <c r="DA29" s="13">
        <v>2</v>
      </c>
      <c r="DB29" s="14">
        <v>1213</v>
      </c>
      <c r="DC29" s="14">
        <v>64903</v>
      </c>
      <c r="DD29" s="13">
        <v>0</v>
      </c>
      <c r="DE29" s="13">
        <v>36</v>
      </c>
      <c r="DF29" s="13">
        <v>34</v>
      </c>
      <c r="DG29" s="13">
        <v>0</v>
      </c>
      <c r="DH29" s="13">
        <v>1</v>
      </c>
      <c r="DI29" s="13">
        <v>295</v>
      </c>
      <c r="DJ29" s="14">
        <v>366</v>
      </c>
      <c r="DK29" s="13">
        <v>42</v>
      </c>
      <c r="DL29" s="13">
        <v>537</v>
      </c>
      <c r="DM29" s="13">
        <v>0</v>
      </c>
      <c r="DN29" s="14">
        <v>65848</v>
      </c>
    </row>
    <row r="30" spans="1:118" x14ac:dyDescent="0.2">
      <c r="A30" s="10"/>
      <c r="B30" s="11" t="s">
        <v>376</v>
      </c>
      <c r="C30" s="12" t="s">
        <v>377</v>
      </c>
      <c r="D30" s="13">
        <v>654</v>
      </c>
      <c r="E30" s="13">
        <v>262</v>
      </c>
      <c r="F30" s="13">
        <v>156</v>
      </c>
      <c r="G30" s="13">
        <v>145</v>
      </c>
      <c r="H30" s="13">
        <v>40</v>
      </c>
      <c r="I30" s="13">
        <v>1159</v>
      </c>
      <c r="J30" s="13">
        <v>435</v>
      </c>
      <c r="K30" s="13">
        <v>249</v>
      </c>
      <c r="L30" s="13">
        <v>72</v>
      </c>
      <c r="M30" s="13">
        <v>171</v>
      </c>
      <c r="N30" s="13">
        <v>210</v>
      </c>
      <c r="O30" s="13">
        <v>148</v>
      </c>
      <c r="P30" s="13">
        <v>1564</v>
      </c>
      <c r="Q30" s="13">
        <v>538</v>
      </c>
      <c r="R30" s="13">
        <v>15</v>
      </c>
      <c r="S30" s="13">
        <v>198</v>
      </c>
      <c r="T30" s="13">
        <v>462</v>
      </c>
      <c r="U30" s="13">
        <v>373</v>
      </c>
      <c r="V30" s="13">
        <v>153</v>
      </c>
      <c r="W30" s="13">
        <v>424</v>
      </c>
      <c r="X30" s="13">
        <v>578</v>
      </c>
      <c r="Y30" s="13">
        <v>66</v>
      </c>
      <c r="Z30" s="13">
        <v>433</v>
      </c>
      <c r="AA30" s="13">
        <v>305</v>
      </c>
      <c r="AB30" s="13">
        <v>632</v>
      </c>
      <c r="AC30" s="13">
        <v>483</v>
      </c>
      <c r="AD30" s="13">
        <v>276</v>
      </c>
      <c r="AE30" s="13">
        <v>420</v>
      </c>
      <c r="AF30" s="13">
        <v>49</v>
      </c>
      <c r="AG30" s="13">
        <v>84</v>
      </c>
      <c r="AH30" s="13">
        <v>362</v>
      </c>
      <c r="AI30" s="13">
        <v>1124</v>
      </c>
      <c r="AJ30" s="13">
        <v>59</v>
      </c>
      <c r="AK30" s="13">
        <v>1469</v>
      </c>
      <c r="AL30" s="13">
        <v>687</v>
      </c>
      <c r="AM30" s="13">
        <v>1374</v>
      </c>
      <c r="AN30" s="13">
        <v>90</v>
      </c>
      <c r="AO30" s="13">
        <v>622</v>
      </c>
      <c r="AP30" s="13">
        <v>983</v>
      </c>
      <c r="AQ30" s="13">
        <v>262</v>
      </c>
      <c r="AR30" s="13">
        <v>218</v>
      </c>
      <c r="AS30" s="13">
        <v>129</v>
      </c>
      <c r="AT30" s="13">
        <v>315</v>
      </c>
      <c r="AU30" s="13">
        <v>145</v>
      </c>
      <c r="AV30" s="13">
        <v>890</v>
      </c>
      <c r="AW30" s="13">
        <v>713</v>
      </c>
      <c r="AX30" s="13">
        <v>35</v>
      </c>
      <c r="AY30" s="13">
        <v>136</v>
      </c>
      <c r="AZ30" s="13">
        <v>4</v>
      </c>
      <c r="BA30" s="13">
        <v>427</v>
      </c>
      <c r="BB30" s="13">
        <v>271</v>
      </c>
      <c r="BC30" s="13">
        <v>427</v>
      </c>
      <c r="BD30" s="13">
        <v>181</v>
      </c>
      <c r="BE30" s="13">
        <v>125</v>
      </c>
      <c r="BF30" s="13">
        <v>596</v>
      </c>
      <c r="BG30" s="13">
        <v>81</v>
      </c>
      <c r="BH30" s="13">
        <v>464</v>
      </c>
      <c r="BI30" s="13">
        <v>657</v>
      </c>
      <c r="BJ30" s="13">
        <v>145</v>
      </c>
      <c r="BK30" s="13">
        <v>1822</v>
      </c>
      <c r="BL30" s="13">
        <v>787</v>
      </c>
      <c r="BM30" s="13">
        <v>110</v>
      </c>
      <c r="BN30" s="13">
        <v>631</v>
      </c>
      <c r="BO30" s="13">
        <v>418</v>
      </c>
      <c r="BP30" s="13">
        <v>319</v>
      </c>
      <c r="BQ30" s="13">
        <v>121</v>
      </c>
      <c r="BR30" s="13">
        <v>239</v>
      </c>
      <c r="BS30" s="13">
        <v>856</v>
      </c>
      <c r="BT30" s="13">
        <v>568</v>
      </c>
      <c r="BU30" s="13">
        <v>2435</v>
      </c>
      <c r="BV30" s="13">
        <v>87</v>
      </c>
      <c r="BW30" s="13">
        <v>344</v>
      </c>
      <c r="BX30" s="13">
        <v>272</v>
      </c>
      <c r="BY30" s="13">
        <v>261</v>
      </c>
      <c r="BZ30" s="13">
        <v>339</v>
      </c>
      <c r="CA30" s="13">
        <v>3991</v>
      </c>
      <c r="CB30" s="13">
        <v>921</v>
      </c>
      <c r="CC30" s="13">
        <v>1298</v>
      </c>
      <c r="CD30" s="13">
        <v>2045</v>
      </c>
      <c r="CE30" s="13">
        <v>87</v>
      </c>
      <c r="CF30" s="13">
        <v>360</v>
      </c>
      <c r="CG30" s="13">
        <v>313</v>
      </c>
      <c r="CH30" s="13">
        <v>120</v>
      </c>
      <c r="CI30" s="13">
        <v>800</v>
      </c>
      <c r="CJ30" s="13">
        <v>264</v>
      </c>
      <c r="CK30" s="13">
        <v>399</v>
      </c>
      <c r="CL30" s="13">
        <v>420</v>
      </c>
      <c r="CM30" s="13">
        <v>132</v>
      </c>
      <c r="CN30" s="13">
        <v>255</v>
      </c>
      <c r="CO30" s="13">
        <v>169</v>
      </c>
      <c r="CP30" s="13">
        <v>120</v>
      </c>
      <c r="CQ30" s="13">
        <v>1453</v>
      </c>
      <c r="CR30" s="13">
        <v>3006</v>
      </c>
      <c r="CS30" s="13">
        <v>889</v>
      </c>
      <c r="CT30" s="13">
        <v>1957</v>
      </c>
      <c r="CU30" s="13">
        <v>1229</v>
      </c>
      <c r="CV30" s="14">
        <v>53582</v>
      </c>
      <c r="CW30" s="13">
        <v>304</v>
      </c>
      <c r="CX30" s="13">
        <v>228</v>
      </c>
      <c r="CY30" s="13">
        <v>82</v>
      </c>
      <c r="CZ30" s="13">
        <v>411</v>
      </c>
      <c r="DA30" s="13">
        <v>1</v>
      </c>
      <c r="DB30" s="14">
        <v>1026</v>
      </c>
      <c r="DC30" s="14">
        <v>54608</v>
      </c>
      <c r="DD30" s="13">
        <v>0</v>
      </c>
      <c r="DE30" s="13">
        <v>0</v>
      </c>
      <c r="DF30" s="13">
        <v>0</v>
      </c>
      <c r="DG30" s="13">
        <v>0</v>
      </c>
      <c r="DH30" s="13">
        <v>0</v>
      </c>
      <c r="DI30" s="13">
        <v>16</v>
      </c>
      <c r="DJ30" s="14">
        <v>16</v>
      </c>
      <c r="DK30" s="13">
        <v>101</v>
      </c>
      <c r="DL30" s="13">
        <v>22</v>
      </c>
      <c r="DM30" s="13">
        <v>0</v>
      </c>
      <c r="DN30" s="14">
        <v>54747</v>
      </c>
    </row>
    <row r="31" spans="1:118" x14ac:dyDescent="0.2">
      <c r="A31" s="10"/>
      <c r="B31" s="11" t="s">
        <v>378</v>
      </c>
      <c r="C31" s="12" t="s">
        <v>379</v>
      </c>
      <c r="D31" s="13">
        <v>332</v>
      </c>
      <c r="E31" s="13">
        <v>63</v>
      </c>
      <c r="F31" s="13">
        <v>99</v>
      </c>
      <c r="G31" s="13">
        <v>5</v>
      </c>
      <c r="H31" s="13">
        <v>44</v>
      </c>
      <c r="I31" s="13">
        <v>448</v>
      </c>
      <c r="J31" s="13">
        <v>132</v>
      </c>
      <c r="K31" s="13">
        <v>95</v>
      </c>
      <c r="L31" s="13">
        <v>56</v>
      </c>
      <c r="M31" s="13">
        <v>79</v>
      </c>
      <c r="N31" s="13">
        <v>329</v>
      </c>
      <c r="O31" s="13">
        <v>300</v>
      </c>
      <c r="P31" s="13">
        <v>1893</v>
      </c>
      <c r="Q31" s="13">
        <v>304</v>
      </c>
      <c r="R31" s="13">
        <v>1</v>
      </c>
      <c r="S31" s="13">
        <v>89</v>
      </c>
      <c r="T31" s="13">
        <v>412</v>
      </c>
      <c r="U31" s="13">
        <v>82</v>
      </c>
      <c r="V31" s="13">
        <v>1</v>
      </c>
      <c r="W31" s="13">
        <v>154</v>
      </c>
      <c r="X31" s="13">
        <v>120</v>
      </c>
      <c r="Y31" s="13">
        <v>0</v>
      </c>
      <c r="Z31" s="13">
        <v>30</v>
      </c>
      <c r="AA31" s="13">
        <v>39</v>
      </c>
      <c r="AB31" s="13">
        <v>345</v>
      </c>
      <c r="AC31" s="13">
        <v>326</v>
      </c>
      <c r="AD31" s="13">
        <v>522</v>
      </c>
      <c r="AE31" s="13">
        <v>65</v>
      </c>
      <c r="AF31" s="13">
        <v>441</v>
      </c>
      <c r="AG31" s="13">
        <v>396</v>
      </c>
      <c r="AH31" s="13">
        <v>480</v>
      </c>
      <c r="AI31" s="13">
        <v>2482</v>
      </c>
      <c r="AJ31" s="13">
        <v>117</v>
      </c>
      <c r="AK31" s="13">
        <v>720</v>
      </c>
      <c r="AL31" s="13">
        <v>2791</v>
      </c>
      <c r="AM31" s="13">
        <v>593</v>
      </c>
      <c r="AN31" s="13">
        <v>8</v>
      </c>
      <c r="AO31" s="13">
        <v>144</v>
      </c>
      <c r="AP31" s="13">
        <v>1174</v>
      </c>
      <c r="AQ31" s="13">
        <v>13</v>
      </c>
      <c r="AR31" s="13">
        <v>226</v>
      </c>
      <c r="AS31" s="13">
        <v>154</v>
      </c>
      <c r="AT31" s="13">
        <v>235</v>
      </c>
      <c r="AU31" s="13">
        <v>141</v>
      </c>
      <c r="AV31" s="13">
        <v>805</v>
      </c>
      <c r="AW31" s="13">
        <v>837</v>
      </c>
      <c r="AX31" s="13">
        <v>147</v>
      </c>
      <c r="AY31" s="13">
        <v>220</v>
      </c>
      <c r="AZ31" s="13">
        <v>0</v>
      </c>
      <c r="BA31" s="13">
        <v>211</v>
      </c>
      <c r="BB31" s="13">
        <v>60</v>
      </c>
      <c r="BC31" s="13">
        <v>45</v>
      </c>
      <c r="BD31" s="13">
        <v>28</v>
      </c>
      <c r="BE31" s="13">
        <v>33</v>
      </c>
      <c r="BF31" s="13">
        <v>905</v>
      </c>
      <c r="BG31" s="13">
        <v>1</v>
      </c>
      <c r="BH31" s="13">
        <v>148</v>
      </c>
      <c r="BI31" s="13">
        <v>580</v>
      </c>
      <c r="BJ31" s="13">
        <v>14</v>
      </c>
      <c r="BK31" s="13">
        <v>1992</v>
      </c>
      <c r="BL31" s="13">
        <v>250</v>
      </c>
      <c r="BM31" s="13">
        <v>75</v>
      </c>
      <c r="BN31" s="13">
        <v>72</v>
      </c>
      <c r="BO31" s="13">
        <v>404</v>
      </c>
      <c r="BP31" s="13">
        <v>216</v>
      </c>
      <c r="BQ31" s="13">
        <v>42</v>
      </c>
      <c r="BR31" s="13">
        <v>404</v>
      </c>
      <c r="BS31" s="13">
        <v>813</v>
      </c>
      <c r="BT31" s="13">
        <v>366</v>
      </c>
      <c r="BU31" s="13">
        <v>2569</v>
      </c>
      <c r="BV31" s="13">
        <v>33</v>
      </c>
      <c r="BW31" s="13">
        <v>61</v>
      </c>
      <c r="BX31" s="13">
        <v>687</v>
      </c>
      <c r="BY31" s="13">
        <v>157</v>
      </c>
      <c r="BZ31" s="13">
        <v>705</v>
      </c>
      <c r="CA31" s="13">
        <v>1607</v>
      </c>
      <c r="CB31" s="13">
        <v>786</v>
      </c>
      <c r="CC31" s="13">
        <v>1982</v>
      </c>
      <c r="CD31" s="13">
        <v>1835</v>
      </c>
      <c r="CE31" s="13">
        <v>583</v>
      </c>
      <c r="CF31" s="13">
        <v>127</v>
      </c>
      <c r="CG31" s="13">
        <v>244</v>
      </c>
      <c r="CH31" s="13">
        <v>31</v>
      </c>
      <c r="CI31" s="13">
        <v>983</v>
      </c>
      <c r="CJ31" s="13">
        <v>263</v>
      </c>
      <c r="CK31" s="13">
        <v>416</v>
      </c>
      <c r="CL31" s="13">
        <v>306</v>
      </c>
      <c r="CM31" s="13">
        <v>216</v>
      </c>
      <c r="CN31" s="13">
        <v>8</v>
      </c>
      <c r="CO31" s="13">
        <v>38</v>
      </c>
      <c r="CP31" s="13">
        <v>137</v>
      </c>
      <c r="CQ31" s="13">
        <v>2409</v>
      </c>
      <c r="CR31" s="13">
        <v>2077</v>
      </c>
      <c r="CS31" s="13">
        <v>2056</v>
      </c>
      <c r="CT31" s="13">
        <v>2867</v>
      </c>
      <c r="CU31" s="13">
        <v>1201</v>
      </c>
      <c r="CV31" s="14">
        <v>49532</v>
      </c>
      <c r="CW31" s="13">
        <v>137</v>
      </c>
      <c r="CX31" s="13">
        <v>214</v>
      </c>
      <c r="CY31" s="13">
        <v>232</v>
      </c>
      <c r="CZ31" s="13">
        <v>945</v>
      </c>
      <c r="DA31" s="13">
        <v>76</v>
      </c>
      <c r="DB31" s="14">
        <v>1604</v>
      </c>
      <c r="DC31" s="14">
        <v>51136</v>
      </c>
      <c r="DD31" s="13">
        <v>147</v>
      </c>
      <c r="DE31" s="13">
        <v>0</v>
      </c>
      <c r="DF31" s="13">
        <v>0</v>
      </c>
      <c r="DG31" s="13">
        <v>0</v>
      </c>
      <c r="DH31" s="13">
        <v>147</v>
      </c>
      <c r="DI31" s="13">
        <v>331</v>
      </c>
      <c r="DJ31" s="14">
        <v>625</v>
      </c>
      <c r="DK31" s="13">
        <v>91</v>
      </c>
      <c r="DL31" s="13">
        <v>1</v>
      </c>
      <c r="DM31" s="13">
        <v>0</v>
      </c>
      <c r="DN31" s="14">
        <v>51853</v>
      </c>
    </row>
    <row r="32" spans="1:118" x14ac:dyDescent="0.2">
      <c r="A32" s="10"/>
      <c r="B32" s="11" t="s">
        <v>380</v>
      </c>
      <c r="C32" s="12" t="s">
        <v>381</v>
      </c>
      <c r="D32" s="13">
        <v>647</v>
      </c>
      <c r="E32" s="13">
        <v>337</v>
      </c>
      <c r="F32" s="13">
        <v>190</v>
      </c>
      <c r="G32" s="13">
        <v>203</v>
      </c>
      <c r="H32" s="13">
        <v>99</v>
      </c>
      <c r="I32" s="13">
        <v>1044</v>
      </c>
      <c r="J32" s="13">
        <v>99</v>
      </c>
      <c r="K32" s="13">
        <v>223</v>
      </c>
      <c r="L32" s="13">
        <v>3</v>
      </c>
      <c r="M32" s="13">
        <v>116</v>
      </c>
      <c r="N32" s="13">
        <v>144</v>
      </c>
      <c r="O32" s="13">
        <v>78</v>
      </c>
      <c r="P32" s="13">
        <v>1473</v>
      </c>
      <c r="Q32" s="13">
        <v>259</v>
      </c>
      <c r="R32" s="13">
        <v>3</v>
      </c>
      <c r="S32" s="13">
        <v>299</v>
      </c>
      <c r="T32" s="13">
        <v>453</v>
      </c>
      <c r="U32" s="13">
        <v>166</v>
      </c>
      <c r="V32" s="13">
        <v>123</v>
      </c>
      <c r="W32" s="13">
        <v>156</v>
      </c>
      <c r="X32" s="13">
        <v>230</v>
      </c>
      <c r="Y32" s="13">
        <v>2</v>
      </c>
      <c r="Z32" s="13">
        <v>403</v>
      </c>
      <c r="AA32" s="13">
        <v>270</v>
      </c>
      <c r="AB32" s="13">
        <v>435</v>
      </c>
      <c r="AC32" s="13">
        <v>160</v>
      </c>
      <c r="AD32" s="13">
        <v>17</v>
      </c>
      <c r="AE32" s="13">
        <v>989</v>
      </c>
      <c r="AF32" s="13">
        <v>91</v>
      </c>
      <c r="AG32" s="13">
        <v>29</v>
      </c>
      <c r="AH32" s="13">
        <v>300</v>
      </c>
      <c r="AI32" s="13">
        <v>1567</v>
      </c>
      <c r="AJ32" s="13">
        <v>79</v>
      </c>
      <c r="AK32" s="13">
        <v>1080</v>
      </c>
      <c r="AL32" s="13">
        <v>1007</v>
      </c>
      <c r="AM32" s="13">
        <v>678</v>
      </c>
      <c r="AN32" s="13">
        <v>5</v>
      </c>
      <c r="AO32" s="13">
        <v>253</v>
      </c>
      <c r="AP32" s="13">
        <v>1049</v>
      </c>
      <c r="AQ32" s="13">
        <v>221</v>
      </c>
      <c r="AR32" s="13">
        <v>337</v>
      </c>
      <c r="AS32" s="13">
        <v>186</v>
      </c>
      <c r="AT32" s="13">
        <v>223</v>
      </c>
      <c r="AU32" s="13">
        <v>20</v>
      </c>
      <c r="AV32" s="13">
        <v>1922</v>
      </c>
      <c r="AW32" s="13">
        <v>309</v>
      </c>
      <c r="AX32" s="13">
        <v>207</v>
      </c>
      <c r="AY32" s="13">
        <v>827</v>
      </c>
      <c r="AZ32" s="13">
        <v>0</v>
      </c>
      <c r="BA32" s="13">
        <v>592</v>
      </c>
      <c r="BB32" s="13">
        <v>263</v>
      </c>
      <c r="BC32" s="13">
        <v>891</v>
      </c>
      <c r="BD32" s="13">
        <v>14</v>
      </c>
      <c r="BE32" s="13">
        <v>282</v>
      </c>
      <c r="BF32" s="13">
        <v>724</v>
      </c>
      <c r="BG32" s="13">
        <v>284</v>
      </c>
      <c r="BH32" s="13">
        <v>779</v>
      </c>
      <c r="BI32" s="13">
        <v>459</v>
      </c>
      <c r="BJ32" s="13">
        <v>11</v>
      </c>
      <c r="BK32" s="13">
        <v>996</v>
      </c>
      <c r="BL32" s="13">
        <v>498</v>
      </c>
      <c r="BM32" s="13">
        <v>2</v>
      </c>
      <c r="BN32" s="13">
        <v>401</v>
      </c>
      <c r="BO32" s="13">
        <v>99</v>
      </c>
      <c r="BP32" s="13">
        <v>931</v>
      </c>
      <c r="BQ32" s="13">
        <v>7</v>
      </c>
      <c r="BR32" s="13">
        <v>326</v>
      </c>
      <c r="BS32" s="13">
        <v>902</v>
      </c>
      <c r="BT32" s="13">
        <v>346</v>
      </c>
      <c r="BU32" s="13">
        <v>2587</v>
      </c>
      <c r="BV32" s="13">
        <v>25</v>
      </c>
      <c r="BW32" s="13">
        <v>486</v>
      </c>
      <c r="BX32" s="13">
        <v>130</v>
      </c>
      <c r="BY32" s="13">
        <v>812</v>
      </c>
      <c r="BZ32" s="13">
        <v>1380</v>
      </c>
      <c r="CA32" s="13">
        <v>937</v>
      </c>
      <c r="CB32" s="13">
        <v>761</v>
      </c>
      <c r="CC32" s="13">
        <v>1155</v>
      </c>
      <c r="CD32" s="13">
        <v>1810</v>
      </c>
      <c r="CE32" s="13">
        <v>58</v>
      </c>
      <c r="CF32" s="13">
        <v>274</v>
      </c>
      <c r="CG32" s="13">
        <v>181</v>
      </c>
      <c r="CH32" s="13">
        <v>379</v>
      </c>
      <c r="CI32" s="13">
        <v>822</v>
      </c>
      <c r="CJ32" s="13">
        <v>158</v>
      </c>
      <c r="CK32" s="13">
        <v>117</v>
      </c>
      <c r="CL32" s="13">
        <v>84</v>
      </c>
      <c r="CM32" s="13">
        <v>132</v>
      </c>
      <c r="CN32" s="13">
        <v>122</v>
      </c>
      <c r="CO32" s="13">
        <v>42</v>
      </c>
      <c r="CP32" s="13">
        <v>8</v>
      </c>
      <c r="CQ32" s="13">
        <v>625</v>
      </c>
      <c r="CR32" s="13">
        <v>1592</v>
      </c>
      <c r="CS32" s="13">
        <v>366</v>
      </c>
      <c r="CT32" s="13">
        <v>1534</v>
      </c>
      <c r="CU32" s="13">
        <v>648</v>
      </c>
      <c r="CV32" s="14">
        <v>45043</v>
      </c>
      <c r="CW32" s="13">
        <v>23</v>
      </c>
      <c r="CX32" s="13">
        <v>359</v>
      </c>
      <c r="CY32" s="13">
        <v>12</v>
      </c>
      <c r="CZ32" s="13">
        <v>28</v>
      </c>
      <c r="DA32" s="13">
        <v>0</v>
      </c>
      <c r="DB32" s="14">
        <v>422</v>
      </c>
      <c r="DC32" s="14">
        <v>45465</v>
      </c>
      <c r="DD32" s="13">
        <v>0</v>
      </c>
      <c r="DE32" s="13">
        <v>0</v>
      </c>
      <c r="DF32" s="13">
        <v>0</v>
      </c>
      <c r="DG32" s="13">
        <v>0</v>
      </c>
      <c r="DH32" s="13">
        <v>247</v>
      </c>
      <c r="DI32" s="13">
        <v>1</v>
      </c>
      <c r="DJ32" s="14">
        <v>248</v>
      </c>
      <c r="DK32" s="13">
        <v>134</v>
      </c>
      <c r="DL32" s="13">
        <v>50</v>
      </c>
      <c r="DM32" s="13">
        <v>0</v>
      </c>
      <c r="DN32" s="14">
        <v>45897</v>
      </c>
    </row>
    <row r="33" spans="1:118" x14ac:dyDescent="0.2">
      <c r="A33" s="10"/>
      <c r="B33" s="11" t="s">
        <v>382</v>
      </c>
      <c r="C33" s="12" t="s">
        <v>383</v>
      </c>
      <c r="D33" s="13">
        <v>306</v>
      </c>
      <c r="E33" s="13">
        <v>282</v>
      </c>
      <c r="F33" s="13">
        <v>125</v>
      </c>
      <c r="G33" s="13">
        <v>71</v>
      </c>
      <c r="H33" s="13">
        <v>251</v>
      </c>
      <c r="I33" s="13">
        <v>614</v>
      </c>
      <c r="J33" s="13">
        <v>595</v>
      </c>
      <c r="K33" s="13">
        <v>189</v>
      </c>
      <c r="L33" s="13">
        <v>227</v>
      </c>
      <c r="M33" s="13">
        <v>115</v>
      </c>
      <c r="N33" s="13">
        <v>72</v>
      </c>
      <c r="O33" s="13">
        <v>64</v>
      </c>
      <c r="P33" s="13">
        <v>503</v>
      </c>
      <c r="Q33" s="13">
        <v>430</v>
      </c>
      <c r="R33" s="13">
        <v>20</v>
      </c>
      <c r="S33" s="13">
        <v>366</v>
      </c>
      <c r="T33" s="13">
        <v>320</v>
      </c>
      <c r="U33" s="13">
        <v>160</v>
      </c>
      <c r="V33" s="13">
        <v>323</v>
      </c>
      <c r="W33" s="13">
        <v>262</v>
      </c>
      <c r="X33" s="13">
        <v>776</v>
      </c>
      <c r="Y33" s="13">
        <v>38</v>
      </c>
      <c r="Z33" s="13">
        <v>350</v>
      </c>
      <c r="AA33" s="13">
        <v>485</v>
      </c>
      <c r="AB33" s="13">
        <v>127</v>
      </c>
      <c r="AC33" s="13">
        <v>474</v>
      </c>
      <c r="AD33" s="13">
        <v>188</v>
      </c>
      <c r="AE33" s="13">
        <v>1284</v>
      </c>
      <c r="AF33" s="13">
        <v>7</v>
      </c>
      <c r="AG33" s="13">
        <v>56</v>
      </c>
      <c r="AH33" s="13">
        <v>285</v>
      </c>
      <c r="AI33" s="13">
        <v>594</v>
      </c>
      <c r="AJ33" s="13">
        <v>97</v>
      </c>
      <c r="AK33" s="13">
        <v>835</v>
      </c>
      <c r="AL33" s="13">
        <v>861</v>
      </c>
      <c r="AM33" s="13">
        <v>1358</v>
      </c>
      <c r="AN33" s="13">
        <v>28</v>
      </c>
      <c r="AO33" s="13">
        <v>281</v>
      </c>
      <c r="AP33" s="13">
        <v>287</v>
      </c>
      <c r="AQ33" s="13">
        <v>195</v>
      </c>
      <c r="AR33" s="13">
        <v>234</v>
      </c>
      <c r="AS33" s="13">
        <v>163</v>
      </c>
      <c r="AT33" s="13">
        <v>393</v>
      </c>
      <c r="AU33" s="13">
        <v>59</v>
      </c>
      <c r="AV33" s="13">
        <v>1088</v>
      </c>
      <c r="AW33" s="13">
        <v>375</v>
      </c>
      <c r="AX33" s="13">
        <v>44</v>
      </c>
      <c r="AY33" s="13">
        <v>217</v>
      </c>
      <c r="AZ33" s="13">
        <v>45</v>
      </c>
      <c r="BA33" s="13">
        <v>558</v>
      </c>
      <c r="BB33" s="13">
        <v>556</v>
      </c>
      <c r="BC33" s="13">
        <v>448</v>
      </c>
      <c r="BD33" s="13">
        <v>136</v>
      </c>
      <c r="BE33" s="13">
        <v>185</v>
      </c>
      <c r="BF33" s="13">
        <v>541</v>
      </c>
      <c r="BG33" s="13">
        <v>137</v>
      </c>
      <c r="BH33" s="13">
        <v>1258</v>
      </c>
      <c r="BI33" s="13">
        <v>458</v>
      </c>
      <c r="BJ33" s="13">
        <v>354</v>
      </c>
      <c r="BK33" s="13">
        <v>615</v>
      </c>
      <c r="BL33" s="13">
        <v>188</v>
      </c>
      <c r="BM33" s="13">
        <v>195</v>
      </c>
      <c r="BN33" s="13">
        <v>732</v>
      </c>
      <c r="BO33" s="13">
        <v>168</v>
      </c>
      <c r="BP33" s="13">
        <v>792</v>
      </c>
      <c r="BQ33" s="13">
        <v>191</v>
      </c>
      <c r="BR33" s="13">
        <v>94</v>
      </c>
      <c r="BS33" s="13">
        <v>689</v>
      </c>
      <c r="BT33" s="13">
        <v>491</v>
      </c>
      <c r="BU33" s="13">
        <v>463</v>
      </c>
      <c r="BV33" s="13">
        <v>87</v>
      </c>
      <c r="BW33" s="13">
        <v>141</v>
      </c>
      <c r="BX33" s="13">
        <v>193</v>
      </c>
      <c r="BY33" s="13">
        <v>259</v>
      </c>
      <c r="BZ33" s="13">
        <v>564</v>
      </c>
      <c r="CA33" s="13">
        <v>283</v>
      </c>
      <c r="CB33" s="13">
        <v>385</v>
      </c>
      <c r="CC33" s="13">
        <v>576</v>
      </c>
      <c r="CD33" s="13">
        <v>453</v>
      </c>
      <c r="CE33" s="13">
        <v>85</v>
      </c>
      <c r="CF33" s="13">
        <v>348</v>
      </c>
      <c r="CG33" s="13">
        <v>162</v>
      </c>
      <c r="CH33" s="13">
        <v>116</v>
      </c>
      <c r="CI33" s="13">
        <v>628</v>
      </c>
      <c r="CJ33" s="13">
        <v>315</v>
      </c>
      <c r="CK33" s="13">
        <v>343</v>
      </c>
      <c r="CL33" s="13">
        <v>335</v>
      </c>
      <c r="CM33" s="13">
        <v>133</v>
      </c>
      <c r="CN33" s="13">
        <v>407</v>
      </c>
      <c r="CO33" s="13">
        <v>318</v>
      </c>
      <c r="CP33" s="13">
        <v>30</v>
      </c>
      <c r="CQ33" s="13">
        <v>255</v>
      </c>
      <c r="CR33" s="13">
        <v>620</v>
      </c>
      <c r="CS33" s="13">
        <v>284</v>
      </c>
      <c r="CT33" s="13">
        <v>733</v>
      </c>
      <c r="CU33" s="13">
        <v>110</v>
      </c>
      <c r="CV33" s="14">
        <v>33931</v>
      </c>
      <c r="CW33" s="13">
        <v>479</v>
      </c>
      <c r="CX33" s="13">
        <v>65</v>
      </c>
      <c r="CY33" s="13">
        <v>429</v>
      </c>
      <c r="CZ33" s="13">
        <v>914</v>
      </c>
      <c r="DA33" s="13">
        <v>29</v>
      </c>
      <c r="DB33" s="14">
        <v>1916</v>
      </c>
      <c r="DC33" s="14">
        <v>35847</v>
      </c>
      <c r="DD33" s="13">
        <v>1</v>
      </c>
      <c r="DE33" s="13">
        <v>1</v>
      </c>
      <c r="DF33" s="13">
        <v>0</v>
      </c>
      <c r="DG33" s="13">
        <v>243</v>
      </c>
      <c r="DH33" s="13">
        <v>5</v>
      </c>
      <c r="DI33" s="13">
        <v>35</v>
      </c>
      <c r="DJ33" s="14">
        <v>285</v>
      </c>
      <c r="DK33" s="13">
        <v>1</v>
      </c>
      <c r="DL33" s="13">
        <v>22</v>
      </c>
      <c r="DM33" s="13">
        <v>0</v>
      </c>
      <c r="DN33" s="14">
        <v>36155</v>
      </c>
    </row>
    <row r="34" spans="1:118" x14ac:dyDescent="0.2">
      <c r="A34" s="10"/>
      <c r="B34" s="11" t="s">
        <v>384</v>
      </c>
      <c r="C34" s="12" t="s">
        <v>385</v>
      </c>
      <c r="D34" s="13">
        <v>376</v>
      </c>
      <c r="E34" s="13">
        <v>323</v>
      </c>
      <c r="F34" s="13">
        <v>121</v>
      </c>
      <c r="G34" s="13">
        <v>4</v>
      </c>
      <c r="H34" s="13">
        <v>3</v>
      </c>
      <c r="I34" s="13">
        <v>810</v>
      </c>
      <c r="J34" s="13">
        <v>85</v>
      </c>
      <c r="K34" s="13">
        <v>65</v>
      </c>
      <c r="L34" s="13">
        <v>47</v>
      </c>
      <c r="M34" s="13">
        <v>42</v>
      </c>
      <c r="N34" s="13">
        <v>238</v>
      </c>
      <c r="O34" s="13">
        <v>30</v>
      </c>
      <c r="P34" s="13">
        <v>807</v>
      </c>
      <c r="Q34" s="13">
        <v>228</v>
      </c>
      <c r="R34" s="13">
        <v>0</v>
      </c>
      <c r="S34" s="13">
        <v>6</v>
      </c>
      <c r="T34" s="13">
        <v>16</v>
      </c>
      <c r="U34" s="13">
        <v>4</v>
      </c>
      <c r="V34" s="13">
        <v>3</v>
      </c>
      <c r="W34" s="13">
        <v>624</v>
      </c>
      <c r="X34" s="13">
        <v>492</v>
      </c>
      <c r="Y34" s="13">
        <v>3</v>
      </c>
      <c r="Z34" s="13">
        <v>103</v>
      </c>
      <c r="AA34" s="13">
        <v>884</v>
      </c>
      <c r="AB34" s="13">
        <v>54</v>
      </c>
      <c r="AC34" s="13">
        <v>341</v>
      </c>
      <c r="AD34" s="13">
        <v>138</v>
      </c>
      <c r="AE34" s="13">
        <v>918</v>
      </c>
      <c r="AF34" s="13">
        <v>0</v>
      </c>
      <c r="AG34" s="13">
        <v>3</v>
      </c>
      <c r="AH34" s="13">
        <v>304</v>
      </c>
      <c r="AI34" s="13">
        <v>553</v>
      </c>
      <c r="AJ34" s="13">
        <v>7</v>
      </c>
      <c r="AK34" s="13">
        <v>825</v>
      </c>
      <c r="AL34" s="13">
        <v>559</v>
      </c>
      <c r="AM34" s="13">
        <v>432</v>
      </c>
      <c r="AN34" s="13">
        <v>0</v>
      </c>
      <c r="AO34" s="13">
        <v>373</v>
      </c>
      <c r="AP34" s="13">
        <v>172</v>
      </c>
      <c r="AQ34" s="13">
        <v>75</v>
      </c>
      <c r="AR34" s="13">
        <v>117</v>
      </c>
      <c r="AS34" s="13">
        <v>18</v>
      </c>
      <c r="AT34" s="13">
        <v>124</v>
      </c>
      <c r="AU34" s="13">
        <v>7</v>
      </c>
      <c r="AV34" s="13">
        <v>604</v>
      </c>
      <c r="AW34" s="13">
        <v>115</v>
      </c>
      <c r="AX34" s="13">
        <v>4</v>
      </c>
      <c r="AY34" s="13">
        <v>113</v>
      </c>
      <c r="AZ34" s="13">
        <v>0</v>
      </c>
      <c r="BA34" s="13">
        <v>97</v>
      </c>
      <c r="BB34" s="13">
        <v>164</v>
      </c>
      <c r="BC34" s="13">
        <v>722</v>
      </c>
      <c r="BD34" s="13">
        <v>12</v>
      </c>
      <c r="BE34" s="13">
        <v>86</v>
      </c>
      <c r="BF34" s="13">
        <v>112</v>
      </c>
      <c r="BG34" s="13">
        <v>3</v>
      </c>
      <c r="BH34" s="13">
        <v>322</v>
      </c>
      <c r="BI34" s="13">
        <v>742</v>
      </c>
      <c r="BJ34" s="13">
        <v>4</v>
      </c>
      <c r="BK34" s="13">
        <v>1634</v>
      </c>
      <c r="BL34" s="13">
        <v>130</v>
      </c>
      <c r="BM34" s="13">
        <v>46</v>
      </c>
      <c r="BN34" s="13">
        <v>971</v>
      </c>
      <c r="BO34" s="13">
        <v>1364</v>
      </c>
      <c r="BP34" s="13">
        <v>239</v>
      </c>
      <c r="BQ34" s="13">
        <v>266</v>
      </c>
      <c r="BR34" s="13">
        <v>362</v>
      </c>
      <c r="BS34" s="13">
        <v>874</v>
      </c>
      <c r="BT34" s="13">
        <v>1336</v>
      </c>
      <c r="BU34" s="13">
        <v>616</v>
      </c>
      <c r="BV34" s="13">
        <v>90</v>
      </c>
      <c r="BW34" s="13">
        <v>849</v>
      </c>
      <c r="BX34" s="13">
        <v>224</v>
      </c>
      <c r="BY34" s="13">
        <v>153</v>
      </c>
      <c r="BZ34" s="13">
        <v>256</v>
      </c>
      <c r="CA34" s="13">
        <v>1014</v>
      </c>
      <c r="CB34" s="13">
        <v>707</v>
      </c>
      <c r="CC34" s="13">
        <v>940</v>
      </c>
      <c r="CD34" s="13">
        <v>346</v>
      </c>
      <c r="CE34" s="13">
        <v>9</v>
      </c>
      <c r="CF34" s="13">
        <v>13</v>
      </c>
      <c r="CG34" s="13">
        <v>75</v>
      </c>
      <c r="CH34" s="13">
        <v>530</v>
      </c>
      <c r="CI34" s="13">
        <v>375</v>
      </c>
      <c r="CJ34" s="13">
        <v>19</v>
      </c>
      <c r="CK34" s="13">
        <v>16</v>
      </c>
      <c r="CL34" s="13">
        <v>19</v>
      </c>
      <c r="CM34" s="13">
        <v>342</v>
      </c>
      <c r="CN34" s="13">
        <v>28</v>
      </c>
      <c r="CO34" s="13">
        <v>23</v>
      </c>
      <c r="CP34" s="13">
        <v>46</v>
      </c>
      <c r="CQ34" s="13">
        <v>516</v>
      </c>
      <c r="CR34" s="13">
        <v>524</v>
      </c>
      <c r="CS34" s="13">
        <v>1518</v>
      </c>
      <c r="CT34" s="13">
        <v>1320</v>
      </c>
      <c r="CU34" s="13">
        <v>384</v>
      </c>
      <c r="CV34" s="14">
        <v>31608</v>
      </c>
      <c r="CW34" s="13">
        <v>25</v>
      </c>
      <c r="CX34" s="13">
        <v>33</v>
      </c>
      <c r="CY34" s="13">
        <v>5</v>
      </c>
      <c r="CZ34" s="13">
        <v>625</v>
      </c>
      <c r="DA34" s="13">
        <v>0</v>
      </c>
      <c r="DB34" s="14">
        <v>688</v>
      </c>
      <c r="DC34" s="14">
        <v>32296</v>
      </c>
      <c r="DD34" s="13">
        <v>0</v>
      </c>
      <c r="DE34" s="13">
        <v>0</v>
      </c>
      <c r="DF34" s="13">
        <v>0</v>
      </c>
      <c r="DG34" s="13">
        <v>0</v>
      </c>
      <c r="DH34" s="13">
        <v>0</v>
      </c>
      <c r="DI34" s="13">
        <v>0</v>
      </c>
      <c r="DJ34" s="14">
        <v>0</v>
      </c>
      <c r="DK34" s="13">
        <v>6</v>
      </c>
      <c r="DL34" s="13">
        <v>116</v>
      </c>
      <c r="DM34" s="13">
        <v>0</v>
      </c>
      <c r="DN34" s="14">
        <v>32418</v>
      </c>
    </row>
    <row r="35" spans="1:118" x14ac:dyDescent="0.2">
      <c r="A35" s="10"/>
      <c r="B35" s="11" t="s">
        <v>386</v>
      </c>
      <c r="C35" s="12" t="s">
        <v>387</v>
      </c>
      <c r="D35" s="13">
        <v>34</v>
      </c>
      <c r="E35" s="13">
        <v>30</v>
      </c>
      <c r="F35" s="13">
        <v>14</v>
      </c>
      <c r="G35" s="13">
        <v>5</v>
      </c>
      <c r="H35" s="13">
        <v>246</v>
      </c>
      <c r="I35" s="13">
        <v>401</v>
      </c>
      <c r="J35" s="13">
        <v>47</v>
      </c>
      <c r="K35" s="13">
        <v>243</v>
      </c>
      <c r="L35" s="13">
        <v>4</v>
      </c>
      <c r="M35" s="13">
        <v>156</v>
      </c>
      <c r="N35" s="13">
        <v>83</v>
      </c>
      <c r="O35" s="13">
        <v>2</v>
      </c>
      <c r="P35" s="13">
        <v>327</v>
      </c>
      <c r="Q35" s="13">
        <v>306</v>
      </c>
      <c r="R35" s="13">
        <v>9</v>
      </c>
      <c r="S35" s="13">
        <v>116</v>
      </c>
      <c r="T35" s="13">
        <v>15</v>
      </c>
      <c r="U35" s="13">
        <v>17</v>
      </c>
      <c r="V35" s="13">
        <v>459</v>
      </c>
      <c r="W35" s="13">
        <v>308</v>
      </c>
      <c r="X35" s="13">
        <v>220</v>
      </c>
      <c r="Y35" s="13">
        <v>3</v>
      </c>
      <c r="Z35" s="13">
        <v>18</v>
      </c>
      <c r="AA35" s="13">
        <v>435</v>
      </c>
      <c r="AB35" s="13">
        <v>221</v>
      </c>
      <c r="AC35" s="13">
        <v>266</v>
      </c>
      <c r="AD35" s="13">
        <v>3</v>
      </c>
      <c r="AE35" s="13">
        <v>343</v>
      </c>
      <c r="AF35" s="13">
        <v>2</v>
      </c>
      <c r="AG35" s="13">
        <v>1</v>
      </c>
      <c r="AH35" s="13">
        <v>368</v>
      </c>
      <c r="AI35" s="13">
        <v>1087</v>
      </c>
      <c r="AJ35" s="13">
        <v>11</v>
      </c>
      <c r="AK35" s="13">
        <v>427</v>
      </c>
      <c r="AL35" s="13">
        <v>610</v>
      </c>
      <c r="AM35" s="13">
        <v>669</v>
      </c>
      <c r="AN35" s="13">
        <v>51</v>
      </c>
      <c r="AO35" s="13">
        <v>598</v>
      </c>
      <c r="AP35" s="13">
        <v>932</v>
      </c>
      <c r="AQ35" s="13">
        <v>36</v>
      </c>
      <c r="AR35" s="13">
        <v>25</v>
      </c>
      <c r="AS35" s="13">
        <v>165</v>
      </c>
      <c r="AT35" s="13">
        <v>379</v>
      </c>
      <c r="AU35" s="13">
        <v>11</v>
      </c>
      <c r="AV35" s="13">
        <v>846</v>
      </c>
      <c r="AW35" s="13">
        <v>454</v>
      </c>
      <c r="AX35" s="13">
        <v>5</v>
      </c>
      <c r="AY35" s="13">
        <v>1</v>
      </c>
      <c r="AZ35" s="13">
        <v>0</v>
      </c>
      <c r="BA35" s="13">
        <v>843</v>
      </c>
      <c r="BB35" s="13">
        <v>12</v>
      </c>
      <c r="BC35" s="13">
        <v>659</v>
      </c>
      <c r="BD35" s="13">
        <v>1</v>
      </c>
      <c r="BE35" s="13">
        <v>2</v>
      </c>
      <c r="BF35" s="13">
        <v>70</v>
      </c>
      <c r="BG35" s="13">
        <v>4</v>
      </c>
      <c r="BH35" s="13">
        <v>49</v>
      </c>
      <c r="BI35" s="13">
        <v>559</v>
      </c>
      <c r="BJ35" s="13">
        <v>0</v>
      </c>
      <c r="BK35" s="13">
        <v>876</v>
      </c>
      <c r="BL35" s="13">
        <v>449</v>
      </c>
      <c r="BM35" s="13">
        <v>2</v>
      </c>
      <c r="BN35" s="13">
        <v>23</v>
      </c>
      <c r="BO35" s="13">
        <v>718</v>
      </c>
      <c r="BP35" s="13">
        <v>216</v>
      </c>
      <c r="BQ35" s="13">
        <v>2</v>
      </c>
      <c r="BR35" s="13">
        <v>116</v>
      </c>
      <c r="BS35" s="13">
        <v>339</v>
      </c>
      <c r="BT35" s="13">
        <v>590</v>
      </c>
      <c r="BU35" s="13">
        <v>1106</v>
      </c>
      <c r="BV35" s="13">
        <v>96</v>
      </c>
      <c r="BW35" s="13">
        <v>12</v>
      </c>
      <c r="BX35" s="13">
        <v>13</v>
      </c>
      <c r="BY35" s="13">
        <v>777</v>
      </c>
      <c r="BZ35" s="13">
        <v>960</v>
      </c>
      <c r="CA35" s="13">
        <v>668</v>
      </c>
      <c r="CB35" s="13">
        <v>1253</v>
      </c>
      <c r="CC35" s="13">
        <v>526</v>
      </c>
      <c r="CD35" s="13">
        <v>393</v>
      </c>
      <c r="CE35" s="13">
        <v>252</v>
      </c>
      <c r="CF35" s="13">
        <v>308</v>
      </c>
      <c r="CG35" s="13">
        <v>70</v>
      </c>
      <c r="CH35" s="13">
        <v>11</v>
      </c>
      <c r="CI35" s="13">
        <v>296</v>
      </c>
      <c r="CJ35" s="13">
        <v>216</v>
      </c>
      <c r="CK35" s="13">
        <v>219</v>
      </c>
      <c r="CL35" s="13">
        <v>412</v>
      </c>
      <c r="CM35" s="13">
        <v>252</v>
      </c>
      <c r="CN35" s="13">
        <v>269</v>
      </c>
      <c r="CO35" s="13">
        <v>5</v>
      </c>
      <c r="CP35" s="13">
        <v>453</v>
      </c>
      <c r="CQ35" s="13">
        <v>712</v>
      </c>
      <c r="CR35" s="13">
        <v>1406</v>
      </c>
      <c r="CS35" s="13">
        <v>441</v>
      </c>
      <c r="CT35" s="13">
        <v>1058</v>
      </c>
      <c r="CU35" s="13">
        <v>1275</v>
      </c>
      <c r="CV35" s="14">
        <v>29998</v>
      </c>
      <c r="CW35" s="13">
        <v>0</v>
      </c>
      <c r="CX35" s="13">
        <v>0</v>
      </c>
      <c r="CY35" s="13">
        <v>1</v>
      </c>
      <c r="CZ35" s="13">
        <v>3</v>
      </c>
      <c r="DA35" s="13">
        <v>0</v>
      </c>
      <c r="DB35" s="14">
        <v>4</v>
      </c>
      <c r="DC35" s="14">
        <v>30002</v>
      </c>
      <c r="DD35" s="13">
        <v>150</v>
      </c>
      <c r="DE35" s="13">
        <v>0</v>
      </c>
      <c r="DF35" s="13">
        <v>0</v>
      </c>
      <c r="DG35" s="13">
        <v>0</v>
      </c>
      <c r="DH35" s="13">
        <v>0</v>
      </c>
      <c r="DI35" s="13">
        <v>0</v>
      </c>
      <c r="DJ35" s="14">
        <v>150</v>
      </c>
      <c r="DK35" s="13">
        <v>20</v>
      </c>
      <c r="DL35" s="13">
        <v>0</v>
      </c>
      <c r="DM35" s="13">
        <v>0</v>
      </c>
      <c r="DN35" s="14">
        <v>30172</v>
      </c>
    </row>
    <row r="36" spans="1:118" x14ac:dyDescent="0.2">
      <c r="A36" s="10"/>
      <c r="B36" s="11" t="s">
        <v>388</v>
      </c>
      <c r="C36" s="12" t="s">
        <v>389</v>
      </c>
      <c r="D36" s="13">
        <v>46</v>
      </c>
      <c r="E36" s="13">
        <v>20</v>
      </c>
      <c r="F36" s="13">
        <v>5</v>
      </c>
      <c r="G36" s="13">
        <v>11</v>
      </c>
      <c r="H36" s="13">
        <v>759</v>
      </c>
      <c r="I36" s="13">
        <v>334</v>
      </c>
      <c r="J36" s="13">
        <v>45</v>
      </c>
      <c r="K36" s="13">
        <v>96</v>
      </c>
      <c r="L36" s="13">
        <v>2</v>
      </c>
      <c r="M36" s="13">
        <v>103</v>
      </c>
      <c r="N36" s="13">
        <v>80</v>
      </c>
      <c r="O36" s="13">
        <v>6</v>
      </c>
      <c r="P36" s="13">
        <v>444</v>
      </c>
      <c r="Q36" s="13">
        <v>454</v>
      </c>
      <c r="R36" s="13">
        <v>11</v>
      </c>
      <c r="S36" s="13">
        <v>8</v>
      </c>
      <c r="T36" s="13">
        <v>17</v>
      </c>
      <c r="U36" s="13">
        <v>51</v>
      </c>
      <c r="V36" s="13">
        <v>200</v>
      </c>
      <c r="W36" s="13">
        <v>240</v>
      </c>
      <c r="X36" s="13">
        <v>94</v>
      </c>
      <c r="Y36" s="13">
        <v>2</v>
      </c>
      <c r="Z36" s="13">
        <v>4</v>
      </c>
      <c r="AA36" s="13">
        <v>152</v>
      </c>
      <c r="AB36" s="13">
        <v>250</v>
      </c>
      <c r="AC36" s="13">
        <v>261</v>
      </c>
      <c r="AD36" s="13">
        <v>12</v>
      </c>
      <c r="AE36" s="13">
        <v>267</v>
      </c>
      <c r="AF36" s="13">
        <v>0</v>
      </c>
      <c r="AG36" s="13">
        <v>1</v>
      </c>
      <c r="AH36" s="13">
        <v>207</v>
      </c>
      <c r="AI36" s="13">
        <v>354</v>
      </c>
      <c r="AJ36" s="13">
        <v>10</v>
      </c>
      <c r="AK36" s="13">
        <v>508</v>
      </c>
      <c r="AL36" s="13">
        <v>406</v>
      </c>
      <c r="AM36" s="13">
        <v>218</v>
      </c>
      <c r="AN36" s="13">
        <v>30</v>
      </c>
      <c r="AO36" s="13">
        <v>501</v>
      </c>
      <c r="AP36" s="13">
        <v>1231</v>
      </c>
      <c r="AQ36" s="13">
        <v>6</v>
      </c>
      <c r="AR36" s="13">
        <v>45</v>
      </c>
      <c r="AS36" s="13">
        <v>59</v>
      </c>
      <c r="AT36" s="13">
        <v>222</v>
      </c>
      <c r="AU36" s="13">
        <v>2</v>
      </c>
      <c r="AV36" s="13">
        <v>336</v>
      </c>
      <c r="AW36" s="13">
        <v>201</v>
      </c>
      <c r="AX36" s="13">
        <v>4</v>
      </c>
      <c r="AY36" s="13">
        <v>1</v>
      </c>
      <c r="AZ36" s="13">
        <v>0</v>
      </c>
      <c r="BA36" s="13">
        <v>845</v>
      </c>
      <c r="BB36" s="13">
        <v>11</v>
      </c>
      <c r="BC36" s="13">
        <v>448</v>
      </c>
      <c r="BD36" s="13">
        <v>1</v>
      </c>
      <c r="BE36" s="13">
        <v>10</v>
      </c>
      <c r="BF36" s="13">
        <v>56</v>
      </c>
      <c r="BG36" s="13">
        <v>8</v>
      </c>
      <c r="BH36" s="13">
        <v>110</v>
      </c>
      <c r="BI36" s="13">
        <v>270</v>
      </c>
      <c r="BJ36" s="13">
        <v>0</v>
      </c>
      <c r="BK36" s="13">
        <v>888</v>
      </c>
      <c r="BL36" s="13">
        <v>344</v>
      </c>
      <c r="BM36" s="13">
        <v>4</v>
      </c>
      <c r="BN36" s="13">
        <v>14</v>
      </c>
      <c r="BO36" s="13">
        <v>484</v>
      </c>
      <c r="BP36" s="13">
        <v>398</v>
      </c>
      <c r="BQ36" s="13">
        <v>38</v>
      </c>
      <c r="BR36" s="13">
        <v>72</v>
      </c>
      <c r="BS36" s="13">
        <v>385</v>
      </c>
      <c r="BT36" s="13">
        <v>465</v>
      </c>
      <c r="BU36" s="13">
        <v>491</v>
      </c>
      <c r="BV36" s="13">
        <v>22</v>
      </c>
      <c r="BW36" s="13">
        <v>6</v>
      </c>
      <c r="BX36" s="13">
        <v>152</v>
      </c>
      <c r="BY36" s="13">
        <v>651</v>
      </c>
      <c r="BZ36" s="13">
        <v>1738</v>
      </c>
      <c r="CA36" s="13">
        <v>426</v>
      </c>
      <c r="CB36" s="13">
        <v>766</v>
      </c>
      <c r="CC36" s="13">
        <v>411</v>
      </c>
      <c r="CD36" s="13">
        <v>371</v>
      </c>
      <c r="CE36" s="13">
        <v>192</v>
      </c>
      <c r="CF36" s="13">
        <v>448</v>
      </c>
      <c r="CG36" s="13">
        <v>78</v>
      </c>
      <c r="CH36" s="13">
        <v>4</v>
      </c>
      <c r="CI36" s="13">
        <v>284</v>
      </c>
      <c r="CJ36" s="13">
        <v>164</v>
      </c>
      <c r="CK36" s="13">
        <v>300</v>
      </c>
      <c r="CL36" s="13">
        <v>260</v>
      </c>
      <c r="CM36" s="13">
        <v>161</v>
      </c>
      <c r="CN36" s="13">
        <v>403</v>
      </c>
      <c r="CO36" s="13">
        <v>5</v>
      </c>
      <c r="CP36" s="13">
        <v>150</v>
      </c>
      <c r="CQ36" s="13">
        <v>411</v>
      </c>
      <c r="CR36" s="13">
        <v>1215</v>
      </c>
      <c r="CS36" s="13">
        <v>291</v>
      </c>
      <c r="CT36" s="13">
        <v>491</v>
      </c>
      <c r="CU36" s="13">
        <v>880</v>
      </c>
      <c r="CV36" s="14">
        <v>23938</v>
      </c>
      <c r="CW36" s="13">
        <v>0</v>
      </c>
      <c r="CX36" s="13">
        <v>0</v>
      </c>
      <c r="CY36" s="13">
        <v>0</v>
      </c>
      <c r="CZ36" s="13">
        <v>2</v>
      </c>
      <c r="DA36" s="13">
        <v>0</v>
      </c>
      <c r="DB36" s="14">
        <v>2</v>
      </c>
      <c r="DC36" s="14">
        <v>23940</v>
      </c>
      <c r="DD36" s="13">
        <v>251</v>
      </c>
      <c r="DE36" s="13">
        <v>0</v>
      </c>
      <c r="DF36" s="13">
        <v>0</v>
      </c>
      <c r="DG36" s="13">
        <v>0</v>
      </c>
      <c r="DH36" s="13">
        <v>0</v>
      </c>
      <c r="DI36" s="13">
        <v>0</v>
      </c>
      <c r="DJ36" s="14">
        <v>251</v>
      </c>
      <c r="DK36" s="13">
        <v>7</v>
      </c>
      <c r="DL36" s="13">
        <v>3</v>
      </c>
      <c r="DM36" s="13">
        <v>0</v>
      </c>
      <c r="DN36" s="14">
        <v>24201</v>
      </c>
    </row>
    <row r="37" spans="1:118" x14ac:dyDescent="0.2">
      <c r="A37" s="10"/>
      <c r="B37" s="11" t="s">
        <v>390</v>
      </c>
      <c r="C37" s="12" t="s">
        <v>391</v>
      </c>
      <c r="D37" s="13">
        <v>119</v>
      </c>
      <c r="E37" s="13">
        <v>457</v>
      </c>
      <c r="F37" s="13">
        <v>14</v>
      </c>
      <c r="G37" s="13">
        <v>37</v>
      </c>
      <c r="H37" s="13">
        <v>10</v>
      </c>
      <c r="I37" s="13">
        <v>896</v>
      </c>
      <c r="J37" s="13">
        <v>141</v>
      </c>
      <c r="K37" s="13">
        <v>5</v>
      </c>
      <c r="L37" s="13">
        <v>54</v>
      </c>
      <c r="M37" s="13">
        <v>80</v>
      </c>
      <c r="N37" s="13">
        <v>38</v>
      </c>
      <c r="O37" s="13">
        <v>34</v>
      </c>
      <c r="P37" s="13">
        <v>763</v>
      </c>
      <c r="Q37" s="13">
        <v>397</v>
      </c>
      <c r="R37" s="13">
        <v>17</v>
      </c>
      <c r="S37" s="13">
        <v>85</v>
      </c>
      <c r="T37" s="13">
        <v>137</v>
      </c>
      <c r="U37" s="13">
        <v>185</v>
      </c>
      <c r="V37" s="13">
        <v>241</v>
      </c>
      <c r="W37" s="13">
        <v>70</v>
      </c>
      <c r="X37" s="13">
        <v>52</v>
      </c>
      <c r="Y37" s="13">
        <v>7</v>
      </c>
      <c r="Z37" s="13">
        <v>67</v>
      </c>
      <c r="AA37" s="13">
        <v>376</v>
      </c>
      <c r="AB37" s="13">
        <v>176</v>
      </c>
      <c r="AC37" s="13">
        <v>150</v>
      </c>
      <c r="AD37" s="13">
        <v>53</v>
      </c>
      <c r="AE37" s="13">
        <v>539</v>
      </c>
      <c r="AF37" s="13">
        <v>2</v>
      </c>
      <c r="AG37" s="13">
        <v>15</v>
      </c>
      <c r="AH37" s="13">
        <v>110</v>
      </c>
      <c r="AI37" s="13">
        <v>550</v>
      </c>
      <c r="AJ37" s="13">
        <v>14</v>
      </c>
      <c r="AK37" s="13">
        <v>641</v>
      </c>
      <c r="AL37" s="13">
        <v>438</v>
      </c>
      <c r="AM37" s="13">
        <v>191</v>
      </c>
      <c r="AN37" s="13">
        <v>192</v>
      </c>
      <c r="AO37" s="13">
        <v>191</v>
      </c>
      <c r="AP37" s="13">
        <v>397</v>
      </c>
      <c r="AQ37" s="13">
        <v>17</v>
      </c>
      <c r="AR37" s="13">
        <v>196</v>
      </c>
      <c r="AS37" s="13">
        <v>289</v>
      </c>
      <c r="AT37" s="13">
        <v>49</v>
      </c>
      <c r="AU37" s="13">
        <v>13</v>
      </c>
      <c r="AV37" s="13">
        <v>476</v>
      </c>
      <c r="AW37" s="13">
        <v>720</v>
      </c>
      <c r="AX37" s="13">
        <v>656</v>
      </c>
      <c r="AY37" s="13">
        <v>34</v>
      </c>
      <c r="AZ37" s="13">
        <v>1</v>
      </c>
      <c r="BA37" s="13">
        <v>199</v>
      </c>
      <c r="BB37" s="13">
        <v>103</v>
      </c>
      <c r="BC37" s="13">
        <v>113</v>
      </c>
      <c r="BD37" s="13">
        <v>154</v>
      </c>
      <c r="BE37" s="13">
        <v>351</v>
      </c>
      <c r="BF37" s="13">
        <v>156</v>
      </c>
      <c r="BG37" s="13">
        <v>88</v>
      </c>
      <c r="BH37" s="13">
        <v>537</v>
      </c>
      <c r="BI37" s="13">
        <v>187</v>
      </c>
      <c r="BJ37" s="13">
        <v>18</v>
      </c>
      <c r="BK37" s="13">
        <v>539</v>
      </c>
      <c r="BL37" s="13">
        <v>1026</v>
      </c>
      <c r="BM37" s="13">
        <v>38</v>
      </c>
      <c r="BN37" s="13">
        <v>218</v>
      </c>
      <c r="BO37" s="13">
        <v>155</v>
      </c>
      <c r="BP37" s="13">
        <v>263</v>
      </c>
      <c r="BQ37" s="13">
        <v>60</v>
      </c>
      <c r="BR37" s="13">
        <v>37</v>
      </c>
      <c r="BS37" s="13">
        <v>1205</v>
      </c>
      <c r="BT37" s="13">
        <v>321</v>
      </c>
      <c r="BU37" s="13">
        <v>481</v>
      </c>
      <c r="BV37" s="13">
        <v>126</v>
      </c>
      <c r="BW37" s="13">
        <v>143</v>
      </c>
      <c r="BX37" s="13">
        <v>56</v>
      </c>
      <c r="BY37" s="13">
        <v>67</v>
      </c>
      <c r="BZ37" s="13">
        <v>38</v>
      </c>
      <c r="CA37" s="13">
        <v>142</v>
      </c>
      <c r="CB37" s="13">
        <v>505</v>
      </c>
      <c r="CC37" s="13">
        <v>312</v>
      </c>
      <c r="CD37" s="13">
        <v>418</v>
      </c>
      <c r="CE37" s="13">
        <v>24</v>
      </c>
      <c r="CF37" s="13">
        <v>1222</v>
      </c>
      <c r="CG37" s="13">
        <v>19</v>
      </c>
      <c r="CH37" s="13">
        <v>761</v>
      </c>
      <c r="CI37" s="13">
        <v>434</v>
      </c>
      <c r="CJ37" s="13">
        <v>220</v>
      </c>
      <c r="CK37" s="13">
        <v>112</v>
      </c>
      <c r="CL37" s="13">
        <v>79</v>
      </c>
      <c r="CM37" s="13">
        <v>314</v>
      </c>
      <c r="CN37" s="13">
        <v>17</v>
      </c>
      <c r="CO37" s="13">
        <v>55</v>
      </c>
      <c r="CP37" s="13">
        <v>6</v>
      </c>
      <c r="CQ37" s="13">
        <v>49</v>
      </c>
      <c r="CR37" s="13">
        <v>532</v>
      </c>
      <c r="CS37" s="13">
        <v>115</v>
      </c>
      <c r="CT37" s="13">
        <v>348</v>
      </c>
      <c r="CU37" s="13">
        <v>152</v>
      </c>
      <c r="CV37" s="14">
        <v>22907</v>
      </c>
      <c r="CW37" s="13">
        <v>183</v>
      </c>
      <c r="CX37" s="13">
        <v>7</v>
      </c>
      <c r="CY37" s="13">
        <v>7</v>
      </c>
      <c r="CZ37" s="13">
        <v>562</v>
      </c>
      <c r="DA37" s="13">
        <v>17</v>
      </c>
      <c r="DB37" s="14">
        <v>776</v>
      </c>
      <c r="DC37" s="14">
        <v>23683</v>
      </c>
      <c r="DD37" s="13">
        <v>4</v>
      </c>
      <c r="DE37" s="13">
        <v>0</v>
      </c>
      <c r="DF37" s="13">
        <v>0</v>
      </c>
      <c r="DG37" s="13">
        <v>6</v>
      </c>
      <c r="DH37" s="13">
        <v>1</v>
      </c>
      <c r="DI37" s="13">
        <v>81</v>
      </c>
      <c r="DJ37" s="14">
        <v>92</v>
      </c>
      <c r="DK37" s="13">
        <v>19</v>
      </c>
      <c r="DL37" s="13">
        <v>0</v>
      </c>
      <c r="DM37" s="13">
        <v>0</v>
      </c>
      <c r="DN37" s="14">
        <v>23794</v>
      </c>
    </row>
    <row r="38" spans="1:118" x14ac:dyDescent="0.2">
      <c r="A38" s="10"/>
      <c r="B38" s="11" t="s">
        <v>392</v>
      </c>
      <c r="C38" s="12" t="s">
        <v>393</v>
      </c>
      <c r="D38" s="13">
        <v>84</v>
      </c>
      <c r="E38" s="13">
        <v>5</v>
      </c>
      <c r="F38" s="13">
        <v>37</v>
      </c>
      <c r="G38" s="13">
        <v>1</v>
      </c>
      <c r="H38" s="13">
        <v>3</v>
      </c>
      <c r="I38" s="13">
        <v>464</v>
      </c>
      <c r="J38" s="13">
        <v>41</v>
      </c>
      <c r="K38" s="13">
        <v>1</v>
      </c>
      <c r="L38" s="13">
        <v>2</v>
      </c>
      <c r="M38" s="13">
        <v>6</v>
      </c>
      <c r="N38" s="13">
        <v>55</v>
      </c>
      <c r="O38" s="13">
        <v>1</v>
      </c>
      <c r="P38" s="13">
        <v>339</v>
      </c>
      <c r="Q38" s="13">
        <v>38</v>
      </c>
      <c r="R38" s="13">
        <v>2</v>
      </c>
      <c r="S38" s="13">
        <v>94</v>
      </c>
      <c r="T38" s="13">
        <v>567</v>
      </c>
      <c r="U38" s="13">
        <v>62</v>
      </c>
      <c r="V38" s="13">
        <v>252</v>
      </c>
      <c r="W38" s="13">
        <v>59</v>
      </c>
      <c r="X38" s="13">
        <v>93</v>
      </c>
      <c r="Y38" s="13">
        <v>2</v>
      </c>
      <c r="Z38" s="13">
        <v>115</v>
      </c>
      <c r="AA38" s="13">
        <v>40</v>
      </c>
      <c r="AB38" s="13">
        <v>279</v>
      </c>
      <c r="AC38" s="13">
        <v>154</v>
      </c>
      <c r="AD38" s="13">
        <v>587</v>
      </c>
      <c r="AE38" s="13">
        <v>422</v>
      </c>
      <c r="AF38" s="13">
        <v>8</v>
      </c>
      <c r="AG38" s="13">
        <v>355</v>
      </c>
      <c r="AH38" s="13">
        <v>117</v>
      </c>
      <c r="AI38" s="13">
        <v>643</v>
      </c>
      <c r="AJ38" s="13">
        <v>8</v>
      </c>
      <c r="AK38" s="13">
        <v>1327</v>
      </c>
      <c r="AL38" s="13">
        <v>295</v>
      </c>
      <c r="AM38" s="13">
        <v>315</v>
      </c>
      <c r="AN38" s="13">
        <v>36</v>
      </c>
      <c r="AO38" s="13">
        <v>292</v>
      </c>
      <c r="AP38" s="13">
        <v>481</v>
      </c>
      <c r="AQ38" s="13">
        <v>1</v>
      </c>
      <c r="AR38" s="13">
        <v>54</v>
      </c>
      <c r="AS38" s="13">
        <v>107</v>
      </c>
      <c r="AT38" s="13">
        <v>185</v>
      </c>
      <c r="AU38" s="13">
        <v>15</v>
      </c>
      <c r="AV38" s="13">
        <v>747</v>
      </c>
      <c r="AW38" s="13">
        <v>119</v>
      </c>
      <c r="AX38" s="13">
        <v>0</v>
      </c>
      <c r="AY38" s="13">
        <v>19</v>
      </c>
      <c r="AZ38" s="13">
        <v>1</v>
      </c>
      <c r="BA38" s="13">
        <v>67</v>
      </c>
      <c r="BB38" s="13">
        <v>36</v>
      </c>
      <c r="BC38" s="13">
        <v>24</v>
      </c>
      <c r="BD38" s="13">
        <v>13</v>
      </c>
      <c r="BE38" s="13">
        <v>7</v>
      </c>
      <c r="BF38" s="13">
        <v>447</v>
      </c>
      <c r="BG38" s="13">
        <v>1</v>
      </c>
      <c r="BH38" s="13">
        <v>62</v>
      </c>
      <c r="BI38" s="13">
        <v>85</v>
      </c>
      <c r="BJ38" s="13">
        <v>0</v>
      </c>
      <c r="BK38" s="13">
        <v>598</v>
      </c>
      <c r="BL38" s="13">
        <v>158</v>
      </c>
      <c r="BM38" s="13">
        <v>134</v>
      </c>
      <c r="BN38" s="13">
        <v>410</v>
      </c>
      <c r="BO38" s="13">
        <v>490</v>
      </c>
      <c r="BP38" s="13">
        <v>234</v>
      </c>
      <c r="BQ38" s="13">
        <v>23</v>
      </c>
      <c r="BR38" s="13">
        <v>33</v>
      </c>
      <c r="BS38" s="13">
        <v>212</v>
      </c>
      <c r="BT38" s="13">
        <v>116</v>
      </c>
      <c r="BU38" s="13">
        <v>363</v>
      </c>
      <c r="BV38" s="13">
        <v>6</v>
      </c>
      <c r="BW38" s="13">
        <v>41</v>
      </c>
      <c r="BX38" s="13">
        <v>137</v>
      </c>
      <c r="BY38" s="13">
        <v>99</v>
      </c>
      <c r="BZ38" s="13">
        <v>336</v>
      </c>
      <c r="CA38" s="13">
        <v>1525</v>
      </c>
      <c r="CB38" s="13">
        <v>237</v>
      </c>
      <c r="CC38" s="13">
        <v>208</v>
      </c>
      <c r="CD38" s="13">
        <v>291</v>
      </c>
      <c r="CE38" s="13">
        <v>190</v>
      </c>
      <c r="CF38" s="13">
        <v>51</v>
      </c>
      <c r="CG38" s="13">
        <v>50</v>
      </c>
      <c r="CH38" s="13">
        <v>123</v>
      </c>
      <c r="CI38" s="13">
        <v>114</v>
      </c>
      <c r="CJ38" s="13">
        <v>25</v>
      </c>
      <c r="CK38" s="13">
        <v>460</v>
      </c>
      <c r="CL38" s="13">
        <v>46</v>
      </c>
      <c r="CM38" s="13">
        <v>69</v>
      </c>
      <c r="CN38" s="13">
        <v>12</v>
      </c>
      <c r="CO38" s="13">
        <v>12</v>
      </c>
      <c r="CP38" s="13">
        <v>1</v>
      </c>
      <c r="CQ38" s="13">
        <v>550</v>
      </c>
      <c r="CR38" s="13">
        <v>714</v>
      </c>
      <c r="CS38" s="13">
        <v>474</v>
      </c>
      <c r="CT38" s="13">
        <v>620</v>
      </c>
      <c r="CU38" s="13">
        <v>446</v>
      </c>
      <c r="CV38" s="14">
        <v>19280</v>
      </c>
      <c r="CW38" s="13">
        <v>0</v>
      </c>
      <c r="CX38" s="13">
        <v>0</v>
      </c>
      <c r="CY38" s="13">
        <v>150</v>
      </c>
      <c r="CZ38" s="13">
        <v>456</v>
      </c>
      <c r="DA38" s="13">
        <v>0</v>
      </c>
      <c r="DB38" s="14">
        <v>606</v>
      </c>
      <c r="DC38" s="14">
        <v>19886</v>
      </c>
      <c r="DD38" s="13">
        <v>0</v>
      </c>
      <c r="DE38" s="13">
        <v>0</v>
      </c>
      <c r="DF38" s="13">
        <v>0</v>
      </c>
      <c r="DG38" s="13">
        <v>0</v>
      </c>
      <c r="DH38" s="13">
        <v>2</v>
      </c>
      <c r="DI38" s="13">
        <v>514</v>
      </c>
      <c r="DJ38" s="14">
        <v>516</v>
      </c>
      <c r="DK38" s="13">
        <v>37</v>
      </c>
      <c r="DL38" s="13">
        <v>184</v>
      </c>
      <c r="DM38" s="13">
        <v>0</v>
      </c>
      <c r="DN38" s="14">
        <v>20623</v>
      </c>
    </row>
    <row r="39" spans="1:118" x14ac:dyDescent="0.2">
      <c r="A39" s="10"/>
      <c r="B39" s="11" t="s">
        <v>394</v>
      </c>
      <c r="C39" s="12" t="s">
        <v>395</v>
      </c>
      <c r="D39" s="13">
        <v>94</v>
      </c>
      <c r="E39" s="13">
        <v>15</v>
      </c>
      <c r="F39" s="13">
        <v>64</v>
      </c>
      <c r="G39" s="13">
        <v>29</v>
      </c>
      <c r="H39" s="13">
        <v>36</v>
      </c>
      <c r="I39" s="13">
        <v>457</v>
      </c>
      <c r="J39" s="13">
        <v>41</v>
      </c>
      <c r="K39" s="13">
        <v>24</v>
      </c>
      <c r="L39" s="13">
        <v>2</v>
      </c>
      <c r="M39" s="13">
        <v>103</v>
      </c>
      <c r="N39" s="13">
        <v>61</v>
      </c>
      <c r="O39" s="13">
        <v>3</v>
      </c>
      <c r="P39" s="13">
        <v>903</v>
      </c>
      <c r="Q39" s="13">
        <v>119</v>
      </c>
      <c r="R39" s="13">
        <v>1</v>
      </c>
      <c r="S39" s="13">
        <v>13</v>
      </c>
      <c r="T39" s="13">
        <v>193</v>
      </c>
      <c r="U39" s="13">
        <v>10</v>
      </c>
      <c r="V39" s="13">
        <v>62</v>
      </c>
      <c r="W39" s="13">
        <v>289</v>
      </c>
      <c r="X39" s="13">
        <v>201</v>
      </c>
      <c r="Y39" s="13">
        <v>1</v>
      </c>
      <c r="Z39" s="13">
        <v>26</v>
      </c>
      <c r="AA39" s="13">
        <v>114</v>
      </c>
      <c r="AB39" s="13">
        <v>200</v>
      </c>
      <c r="AC39" s="13">
        <v>81</v>
      </c>
      <c r="AD39" s="13">
        <v>23</v>
      </c>
      <c r="AE39" s="13">
        <v>317</v>
      </c>
      <c r="AF39" s="13">
        <v>0</v>
      </c>
      <c r="AG39" s="13">
        <v>6</v>
      </c>
      <c r="AH39" s="13">
        <v>200</v>
      </c>
      <c r="AI39" s="13">
        <v>797</v>
      </c>
      <c r="AJ39" s="13">
        <v>12</v>
      </c>
      <c r="AK39" s="13">
        <v>662</v>
      </c>
      <c r="AL39" s="13">
        <v>486</v>
      </c>
      <c r="AM39" s="13">
        <v>175</v>
      </c>
      <c r="AN39" s="13">
        <v>73</v>
      </c>
      <c r="AO39" s="13">
        <v>146</v>
      </c>
      <c r="AP39" s="13">
        <v>308</v>
      </c>
      <c r="AQ39" s="13">
        <v>49</v>
      </c>
      <c r="AR39" s="13">
        <v>148</v>
      </c>
      <c r="AS39" s="13">
        <v>71</v>
      </c>
      <c r="AT39" s="13">
        <v>180</v>
      </c>
      <c r="AU39" s="13">
        <v>13</v>
      </c>
      <c r="AV39" s="13">
        <v>289</v>
      </c>
      <c r="AW39" s="13">
        <v>244</v>
      </c>
      <c r="AX39" s="13">
        <v>2</v>
      </c>
      <c r="AY39" s="13">
        <v>8</v>
      </c>
      <c r="AZ39" s="13">
        <v>2</v>
      </c>
      <c r="BA39" s="13">
        <v>213</v>
      </c>
      <c r="BB39" s="13">
        <v>124</v>
      </c>
      <c r="BC39" s="13">
        <v>80</v>
      </c>
      <c r="BD39" s="13">
        <v>88</v>
      </c>
      <c r="BE39" s="13">
        <v>83</v>
      </c>
      <c r="BF39" s="13">
        <v>194</v>
      </c>
      <c r="BG39" s="13">
        <v>17</v>
      </c>
      <c r="BH39" s="13">
        <v>317</v>
      </c>
      <c r="BI39" s="13">
        <v>102</v>
      </c>
      <c r="BJ39" s="13">
        <v>28</v>
      </c>
      <c r="BK39" s="13">
        <v>519</v>
      </c>
      <c r="BL39" s="13">
        <v>138</v>
      </c>
      <c r="BM39" s="13">
        <v>75</v>
      </c>
      <c r="BN39" s="13">
        <v>288</v>
      </c>
      <c r="BO39" s="13">
        <v>257</v>
      </c>
      <c r="BP39" s="13">
        <v>649</v>
      </c>
      <c r="BQ39" s="13">
        <v>9</v>
      </c>
      <c r="BR39" s="13">
        <v>239</v>
      </c>
      <c r="BS39" s="13">
        <v>520</v>
      </c>
      <c r="BT39" s="13">
        <v>102</v>
      </c>
      <c r="BU39" s="13">
        <v>528</v>
      </c>
      <c r="BV39" s="13">
        <v>10</v>
      </c>
      <c r="BW39" s="13">
        <v>242</v>
      </c>
      <c r="BX39" s="13">
        <v>237</v>
      </c>
      <c r="BY39" s="13">
        <v>134</v>
      </c>
      <c r="BZ39" s="13">
        <v>405</v>
      </c>
      <c r="CA39" s="13">
        <v>473</v>
      </c>
      <c r="CB39" s="13">
        <v>599</v>
      </c>
      <c r="CC39" s="13">
        <v>701</v>
      </c>
      <c r="CD39" s="13">
        <v>374</v>
      </c>
      <c r="CE39" s="13">
        <v>7</v>
      </c>
      <c r="CF39" s="13">
        <v>271</v>
      </c>
      <c r="CG39" s="13">
        <v>68</v>
      </c>
      <c r="CH39" s="13">
        <v>39</v>
      </c>
      <c r="CI39" s="13">
        <v>308</v>
      </c>
      <c r="CJ39" s="13">
        <v>139</v>
      </c>
      <c r="CK39" s="13">
        <v>92</v>
      </c>
      <c r="CL39" s="13">
        <v>98</v>
      </c>
      <c r="CM39" s="13">
        <v>80</v>
      </c>
      <c r="CN39" s="13">
        <v>24</v>
      </c>
      <c r="CO39" s="13">
        <v>136</v>
      </c>
      <c r="CP39" s="13">
        <v>33</v>
      </c>
      <c r="CQ39" s="13">
        <v>489</v>
      </c>
      <c r="CR39" s="13">
        <v>516</v>
      </c>
      <c r="CS39" s="13">
        <v>658</v>
      </c>
      <c r="CT39" s="13">
        <v>527</v>
      </c>
      <c r="CU39" s="13">
        <v>537</v>
      </c>
      <c r="CV39" s="14">
        <v>19120</v>
      </c>
      <c r="CW39" s="13">
        <v>2</v>
      </c>
      <c r="CX39" s="13">
        <v>36</v>
      </c>
      <c r="CY39" s="13">
        <v>0</v>
      </c>
      <c r="CZ39" s="13">
        <v>8</v>
      </c>
      <c r="DA39" s="13">
        <v>0</v>
      </c>
      <c r="DB39" s="14">
        <v>46</v>
      </c>
      <c r="DC39" s="14">
        <v>19166</v>
      </c>
      <c r="DD39" s="13">
        <v>0</v>
      </c>
      <c r="DE39" s="13">
        <v>0</v>
      </c>
      <c r="DF39" s="13">
        <v>0</v>
      </c>
      <c r="DG39" s="13">
        <v>0</v>
      </c>
      <c r="DH39" s="13">
        <v>0</v>
      </c>
      <c r="DI39" s="13">
        <v>0</v>
      </c>
      <c r="DJ39" s="14">
        <v>0</v>
      </c>
      <c r="DK39" s="13">
        <v>51</v>
      </c>
      <c r="DL39" s="13">
        <v>2</v>
      </c>
      <c r="DM39" s="13">
        <v>0</v>
      </c>
      <c r="DN39" s="14">
        <v>19219</v>
      </c>
    </row>
    <row r="40" spans="1:118" x14ac:dyDescent="0.2">
      <c r="A40" s="10"/>
      <c r="B40" s="11" t="s">
        <v>396</v>
      </c>
      <c r="C40" s="12" t="s">
        <v>397</v>
      </c>
      <c r="D40" s="13">
        <v>17</v>
      </c>
      <c r="E40" s="13">
        <v>11</v>
      </c>
      <c r="F40" s="13">
        <v>1</v>
      </c>
      <c r="G40" s="13">
        <v>4</v>
      </c>
      <c r="H40" s="13">
        <v>1</v>
      </c>
      <c r="I40" s="13">
        <v>490</v>
      </c>
      <c r="J40" s="13">
        <v>35</v>
      </c>
      <c r="K40" s="13">
        <v>6</v>
      </c>
      <c r="L40" s="13">
        <v>1</v>
      </c>
      <c r="M40" s="13">
        <v>1</v>
      </c>
      <c r="N40" s="13">
        <v>3</v>
      </c>
      <c r="O40" s="13">
        <v>29</v>
      </c>
      <c r="P40" s="13">
        <v>180</v>
      </c>
      <c r="Q40" s="13">
        <v>287</v>
      </c>
      <c r="R40" s="13">
        <v>0</v>
      </c>
      <c r="S40" s="13">
        <v>4</v>
      </c>
      <c r="T40" s="13">
        <v>49</v>
      </c>
      <c r="U40" s="13">
        <v>2</v>
      </c>
      <c r="V40" s="13">
        <v>1</v>
      </c>
      <c r="W40" s="13">
        <v>13</v>
      </c>
      <c r="X40" s="13">
        <v>34</v>
      </c>
      <c r="Y40" s="13">
        <v>0</v>
      </c>
      <c r="Z40" s="13">
        <v>5</v>
      </c>
      <c r="AA40" s="13">
        <v>9</v>
      </c>
      <c r="AB40" s="13">
        <v>115</v>
      </c>
      <c r="AC40" s="13">
        <v>13</v>
      </c>
      <c r="AD40" s="13">
        <v>76</v>
      </c>
      <c r="AE40" s="13">
        <v>81</v>
      </c>
      <c r="AF40" s="13">
        <v>0</v>
      </c>
      <c r="AG40" s="13">
        <v>0</v>
      </c>
      <c r="AH40" s="13">
        <v>2</v>
      </c>
      <c r="AI40" s="13">
        <v>232</v>
      </c>
      <c r="AJ40" s="13">
        <v>323</v>
      </c>
      <c r="AK40" s="13">
        <v>1016</v>
      </c>
      <c r="AL40" s="13">
        <v>56</v>
      </c>
      <c r="AM40" s="13">
        <v>185</v>
      </c>
      <c r="AN40" s="13">
        <v>0</v>
      </c>
      <c r="AO40" s="13">
        <v>73</v>
      </c>
      <c r="AP40" s="13">
        <v>230</v>
      </c>
      <c r="AQ40" s="13">
        <v>0</v>
      </c>
      <c r="AR40" s="13">
        <v>2</v>
      </c>
      <c r="AS40" s="13">
        <v>175</v>
      </c>
      <c r="AT40" s="13">
        <v>231</v>
      </c>
      <c r="AU40" s="13">
        <v>0</v>
      </c>
      <c r="AV40" s="13">
        <v>1109</v>
      </c>
      <c r="AW40" s="13">
        <v>229</v>
      </c>
      <c r="AX40" s="13">
        <v>0</v>
      </c>
      <c r="AY40" s="13">
        <v>0</v>
      </c>
      <c r="AZ40" s="13">
        <v>0</v>
      </c>
      <c r="BA40" s="13">
        <v>271</v>
      </c>
      <c r="BB40" s="13">
        <v>2</v>
      </c>
      <c r="BC40" s="13">
        <v>2</v>
      </c>
      <c r="BD40" s="13">
        <v>0</v>
      </c>
      <c r="BE40" s="13">
        <v>64</v>
      </c>
      <c r="BF40" s="13">
        <v>20</v>
      </c>
      <c r="BG40" s="13">
        <v>0</v>
      </c>
      <c r="BH40" s="13">
        <v>9</v>
      </c>
      <c r="BI40" s="13">
        <v>0</v>
      </c>
      <c r="BJ40" s="13">
        <v>3</v>
      </c>
      <c r="BK40" s="13">
        <v>4398</v>
      </c>
      <c r="BL40" s="13">
        <v>83</v>
      </c>
      <c r="BM40" s="13">
        <v>8</v>
      </c>
      <c r="BN40" s="13">
        <v>856</v>
      </c>
      <c r="BO40" s="13">
        <v>5</v>
      </c>
      <c r="BP40" s="13">
        <v>3</v>
      </c>
      <c r="BQ40" s="13">
        <v>0</v>
      </c>
      <c r="BR40" s="13">
        <v>2</v>
      </c>
      <c r="BS40" s="13">
        <v>33</v>
      </c>
      <c r="BT40" s="13">
        <v>0</v>
      </c>
      <c r="BU40" s="13">
        <v>747</v>
      </c>
      <c r="BV40" s="13">
        <v>0</v>
      </c>
      <c r="BW40" s="13">
        <v>0</v>
      </c>
      <c r="BX40" s="13">
        <v>161</v>
      </c>
      <c r="BY40" s="13">
        <v>4</v>
      </c>
      <c r="BZ40" s="13">
        <v>4</v>
      </c>
      <c r="CA40" s="13">
        <v>614</v>
      </c>
      <c r="CB40" s="13">
        <v>625</v>
      </c>
      <c r="CC40" s="13">
        <v>65</v>
      </c>
      <c r="CD40" s="13">
        <v>820</v>
      </c>
      <c r="CE40" s="13">
        <v>1</v>
      </c>
      <c r="CF40" s="13">
        <v>424</v>
      </c>
      <c r="CG40" s="13">
        <v>47</v>
      </c>
      <c r="CH40" s="13">
        <v>1</v>
      </c>
      <c r="CI40" s="13">
        <v>27</v>
      </c>
      <c r="CJ40" s="13">
        <v>1</v>
      </c>
      <c r="CK40" s="13">
        <v>0</v>
      </c>
      <c r="CL40" s="13">
        <v>2</v>
      </c>
      <c r="CM40" s="13">
        <v>28</v>
      </c>
      <c r="CN40" s="13">
        <v>0</v>
      </c>
      <c r="CO40" s="13">
        <v>1</v>
      </c>
      <c r="CP40" s="13">
        <v>0</v>
      </c>
      <c r="CQ40" s="13">
        <v>73</v>
      </c>
      <c r="CR40" s="13">
        <v>1126</v>
      </c>
      <c r="CS40" s="13">
        <v>46</v>
      </c>
      <c r="CT40" s="13">
        <v>239</v>
      </c>
      <c r="CU40" s="13">
        <v>21</v>
      </c>
      <c r="CV40" s="14">
        <v>16167</v>
      </c>
      <c r="CW40" s="13">
        <v>0</v>
      </c>
      <c r="CX40" s="13">
        <v>1</v>
      </c>
      <c r="CY40" s="13">
        <v>0</v>
      </c>
      <c r="CZ40" s="13">
        <v>153</v>
      </c>
      <c r="DA40" s="13">
        <v>0</v>
      </c>
      <c r="DB40" s="14">
        <v>154</v>
      </c>
      <c r="DC40" s="14">
        <v>16321</v>
      </c>
      <c r="DD40" s="13">
        <v>0</v>
      </c>
      <c r="DE40" s="13">
        <v>0</v>
      </c>
      <c r="DF40" s="13">
        <v>0</v>
      </c>
      <c r="DG40" s="13">
        <v>0</v>
      </c>
      <c r="DH40" s="13">
        <v>0</v>
      </c>
      <c r="DI40" s="13">
        <v>0</v>
      </c>
      <c r="DJ40" s="14">
        <v>0</v>
      </c>
      <c r="DK40" s="13">
        <v>2</v>
      </c>
      <c r="DL40" s="13">
        <v>13</v>
      </c>
      <c r="DM40" s="13">
        <v>0</v>
      </c>
      <c r="DN40" s="14">
        <v>16336</v>
      </c>
    </row>
    <row r="41" spans="1:118" x14ac:dyDescent="0.2">
      <c r="A41" s="10"/>
      <c r="B41" s="11" t="s">
        <v>398</v>
      </c>
      <c r="C41" s="12" t="s">
        <v>399</v>
      </c>
      <c r="D41" s="13">
        <v>40</v>
      </c>
      <c r="E41" s="13">
        <v>8</v>
      </c>
      <c r="F41" s="13">
        <v>12</v>
      </c>
      <c r="G41" s="13">
        <v>7</v>
      </c>
      <c r="H41" s="13">
        <v>2</v>
      </c>
      <c r="I41" s="13">
        <v>136</v>
      </c>
      <c r="J41" s="13">
        <v>12</v>
      </c>
      <c r="K41" s="13">
        <v>2</v>
      </c>
      <c r="L41" s="13">
        <v>4</v>
      </c>
      <c r="M41" s="13">
        <v>2</v>
      </c>
      <c r="N41" s="13">
        <v>5</v>
      </c>
      <c r="O41" s="13">
        <v>2</v>
      </c>
      <c r="P41" s="13">
        <v>207</v>
      </c>
      <c r="Q41" s="13">
        <v>57</v>
      </c>
      <c r="R41" s="13">
        <v>1</v>
      </c>
      <c r="S41" s="13">
        <v>25</v>
      </c>
      <c r="T41" s="13">
        <v>777</v>
      </c>
      <c r="U41" s="13">
        <v>4</v>
      </c>
      <c r="V41" s="13">
        <v>15</v>
      </c>
      <c r="W41" s="13">
        <v>7</v>
      </c>
      <c r="X41" s="13">
        <v>240</v>
      </c>
      <c r="Y41" s="13">
        <v>14</v>
      </c>
      <c r="Z41" s="13">
        <v>22</v>
      </c>
      <c r="AA41" s="13">
        <v>28</v>
      </c>
      <c r="AB41" s="13">
        <v>2</v>
      </c>
      <c r="AC41" s="13">
        <v>16</v>
      </c>
      <c r="AD41" s="13">
        <v>14</v>
      </c>
      <c r="AE41" s="13">
        <v>577</v>
      </c>
      <c r="AF41" s="13">
        <v>35</v>
      </c>
      <c r="AG41" s="13">
        <v>25</v>
      </c>
      <c r="AH41" s="13">
        <v>16</v>
      </c>
      <c r="AI41" s="13">
        <v>116</v>
      </c>
      <c r="AJ41" s="13">
        <v>5</v>
      </c>
      <c r="AK41" s="13">
        <v>2314</v>
      </c>
      <c r="AL41" s="13">
        <v>206</v>
      </c>
      <c r="AM41" s="13">
        <v>136</v>
      </c>
      <c r="AN41" s="13">
        <v>6</v>
      </c>
      <c r="AO41" s="13">
        <v>46</v>
      </c>
      <c r="AP41" s="13">
        <v>23</v>
      </c>
      <c r="AQ41" s="13">
        <v>0</v>
      </c>
      <c r="AR41" s="13">
        <v>2446</v>
      </c>
      <c r="AS41" s="13">
        <v>6</v>
      </c>
      <c r="AT41" s="13">
        <v>6</v>
      </c>
      <c r="AU41" s="13">
        <v>2</v>
      </c>
      <c r="AV41" s="13">
        <v>195</v>
      </c>
      <c r="AW41" s="13">
        <v>27</v>
      </c>
      <c r="AX41" s="13">
        <v>1</v>
      </c>
      <c r="AY41" s="13">
        <v>21</v>
      </c>
      <c r="AZ41" s="13">
        <v>2</v>
      </c>
      <c r="BA41" s="13">
        <v>14</v>
      </c>
      <c r="BB41" s="13">
        <v>200</v>
      </c>
      <c r="BC41" s="13">
        <v>9</v>
      </c>
      <c r="BD41" s="13">
        <v>1</v>
      </c>
      <c r="BE41" s="13">
        <v>7</v>
      </c>
      <c r="BF41" s="13">
        <v>6</v>
      </c>
      <c r="BG41" s="13">
        <v>2</v>
      </c>
      <c r="BH41" s="13">
        <v>589</v>
      </c>
      <c r="BI41" s="13">
        <v>14</v>
      </c>
      <c r="BJ41" s="13">
        <v>3</v>
      </c>
      <c r="BK41" s="13">
        <v>35</v>
      </c>
      <c r="BL41" s="13">
        <v>12</v>
      </c>
      <c r="BM41" s="13">
        <v>1</v>
      </c>
      <c r="BN41" s="13">
        <v>8</v>
      </c>
      <c r="BO41" s="13">
        <v>8</v>
      </c>
      <c r="BP41" s="13">
        <v>2343</v>
      </c>
      <c r="BQ41" s="13">
        <v>6</v>
      </c>
      <c r="BR41" s="13">
        <v>122</v>
      </c>
      <c r="BS41" s="13">
        <v>18</v>
      </c>
      <c r="BT41" s="13">
        <v>18</v>
      </c>
      <c r="BU41" s="13">
        <v>85</v>
      </c>
      <c r="BV41" s="13">
        <v>8</v>
      </c>
      <c r="BW41" s="13">
        <v>8</v>
      </c>
      <c r="BX41" s="13">
        <v>8</v>
      </c>
      <c r="BY41" s="13">
        <v>36</v>
      </c>
      <c r="BZ41" s="13">
        <v>120</v>
      </c>
      <c r="CA41" s="13">
        <v>306</v>
      </c>
      <c r="CB41" s="13">
        <v>99</v>
      </c>
      <c r="CC41" s="13">
        <v>43</v>
      </c>
      <c r="CD41" s="13">
        <v>83</v>
      </c>
      <c r="CE41" s="13">
        <v>13</v>
      </c>
      <c r="CF41" s="13">
        <v>109</v>
      </c>
      <c r="CG41" s="13">
        <v>4</v>
      </c>
      <c r="CH41" s="13">
        <v>9</v>
      </c>
      <c r="CI41" s="13">
        <v>252</v>
      </c>
      <c r="CJ41" s="13">
        <v>10</v>
      </c>
      <c r="CK41" s="13">
        <v>863</v>
      </c>
      <c r="CL41" s="13">
        <v>18</v>
      </c>
      <c r="CM41" s="13">
        <v>32</v>
      </c>
      <c r="CN41" s="13">
        <v>0</v>
      </c>
      <c r="CO41" s="13">
        <v>6</v>
      </c>
      <c r="CP41" s="13">
        <v>0</v>
      </c>
      <c r="CQ41" s="13">
        <v>46</v>
      </c>
      <c r="CR41" s="13">
        <v>141</v>
      </c>
      <c r="CS41" s="13">
        <v>32</v>
      </c>
      <c r="CT41" s="13">
        <v>53</v>
      </c>
      <c r="CU41" s="13">
        <v>14</v>
      </c>
      <c r="CV41" s="14">
        <v>13686</v>
      </c>
      <c r="CW41" s="13">
        <v>351</v>
      </c>
      <c r="CX41" s="13">
        <v>183</v>
      </c>
      <c r="CY41" s="13">
        <v>0</v>
      </c>
      <c r="CZ41" s="13">
        <v>653</v>
      </c>
      <c r="DA41" s="13">
        <v>1</v>
      </c>
      <c r="DB41" s="14">
        <v>1188</v>
      </c>
      <c r="DC41" s="14">
        <v>14874</v>
      </c>
      <c r="DD41" s="13">
        <v>0</v>
      </c>
      <c r="DE41" s="13">
        <v>92</v>
      </c>
      <c r="DF41" s="13">
        <v>37</v>
      </c>
      <c r="DG41" s="13">
        <v>0</v>
      </c>
      <c r="DH41" s="13">
        <v>10</v>
      </c>
      <c r="DI41" s="13">
        <v>72</v>
      </c>
      <c r="DJ41" s="14">
        <v>211</v>
      </c>
      <c r="DK41" s="13">
        <v>2</v>
      </c>
      <c r="DL41" s="13">
        <v>17</v>
      </c>
      <c r="DM41" s="13">
        <v>0</v>
      </c>
      <c r="DN41" s="14">
        <v>15104</v>
      </c>
    </row>
    <row r="42" spans="1:118" x14ac:dyDescent="0.2">
      <c r="A42" s="10"/>
      <c r="B42" s="11" t="s">
        <v>400</v>
      </c>
      <c r="C42" s="12" t="s">
        <v>401</v>
      </c>
      <c r="D42" s="13">
        <v>89</v>
      </c>
      <c r="E42" s="13">
        <v>17</v>
      </c>
      <c r="F42" s="13">
        <v>0</v>
      </c>
      <c r="G42" s="13">
        <v>5</v>
      </c>
      <c r="H42" s="13">
        <v>40</v>
      </c>
      <c r="I42" s="13">
        <v>325</v>
      </c>
      <c r="J42" s="13">
        <v>4</v>
      </c>
      <c r="K42" s="13">
        <v>15</v>
      </c>
      <c r="L42" s="13">
        <v>1</v>
      </c>
      <c r="M42" s="13">
        <v>38</v>
      </c>
      <c r="N42" s="13">
        <v>63</v>
      </c>
      <c r="O42" s="13">
        <v>2</v>
      </c>
      <c r="P42" s="13">
        <v>189</v>
      </c>
      <c r="Q42" s="13">
        <v>109</v>
      </c>
      <c r="R42" s="13">
        <v>1</v>
      </c>
      <c r="S42" s="13">
        <v>118</v>
      </c>
      <c r="T42" s="13">
        <v>184</v>
      </c>
      <c r="U42" s="13">
        <v>55</v>
      </c>
      <c r="V42" s="13">
        <v>35</v>
      </c>
      <c r="W42" s="13">
        <v>98</v>
      </c>
      <c r="X42" s="13">
        <v>98</v>
      </c>
      <c r="Y42" s="13">
        <v>2</v>
      </c>
      <c r="Z42" s="13">
        <v>144</v>
      </c>
      <c r="AA42" s="13">
        <v>72</v>
      </c>
      <c r="AB42" s="13">
        <v>26</v>
      </c>
      <c r="AC42" s="13">
        <v>181</v>
      </c>
      <c r="AD42" s="13">
        <v>158</v>
      </c>
      <c r="AE42" s="13">
        <v>136</v>
      </c>
      <c r="AF42" s="13">
        <v>49</v>
      </c>
      <c r="AG42" s="13">
        <v>125</v>
      </c>
      <c r="AH42" s="13">
        <v>146</v>
      </c>
      <c r="AI42" s="13">
        <v>418</v>
      </c>
      <c r="AJ42" s="13">
        <v>10</v>
      </c>
      <c r="AK42" s="13">
        <v>569</v>
      </c>
      <c r="AL42" s="13">
        <v>572</v>
      </c>
      <c r="AM42" s="13">
        <v>655</v>
      </c>
      <c r="AN42" s="13">
        <v>1</v>
      </c>
      <c r="AO42" s="13">
        <v>50</v>
      </c>
      <c r="AP42" s="13">
        <v>337</v>
      </c>
      <c r="AQ42" s="13">
        <v>31</v>
      </c>
      <c r="AR42" s="13">
        <v>44</v>
      </c>
      <c r="AS42" s="13">
        <v>6</v>
      </c>
      <c r="AT42" s="13">
        <v>79</v>
      </c>
      <c r="AU42" s="13">
        <v>47</v>
      </c>
      <c r="AV42" s="13">
        <v>175</v>
      </c>
      <c r="AW42" s="13">
        <v>96</v>
      </c>
      <c r="AX42" s="13">
        <v>1</v>
      </c>
      <c r="AY42" s="13">
        <v>96</v>
      </c>
      <c r="AZ42" s="13">
        <v>1</v>
      </c>
      <c r="BA42" s="13">
        <v>106</v>
      </c>
      <c r="BB42" s="13">
        <v>101</v>
      </c>
      <c r="BC42" s="13">
        <v>107</v>
      </c>
      <c r="BD42" s="13">
        <v>1</v>
      </c>
      <c r="BE42" s="13">
        <v>16</v>
      </c>
      <c r="BF42" s="13">
        <v>160</v>
      </c>
      <c r="BG42" s="13">
        <v>1</v>
      </c>
      <c r="BH42" s="13">
        <v>95</v>
      </c>
      <c r="BI42" s="13">
        <v>207</v>
      </c>
      <c r="BJ42" s="13">
        <v>22</v>
      </c>
      <c r="BK42" s="13">
        <v>445</v>
      </c>
      <c r="BL42" s="13">
        <v>63</v>
      </c>
      <c r="BM42" s="13">
        <v>6</v>
      </c>
      <c r="BN42" s="13">
        <v>31</v>
      </c>
      <c r="BO42" s="13">
        <v>161</v>
      </c>
      <c r="BP42" s="13">
        <v>212</v>
      </c>
      <c r="BQ42" s="13">
        <v>3</v>
      </c>
      <c r="BR42" s="13">
        <v>142</v>
      </c>
      <c r="BS42" s="13">
        <v>202</v>
      </c>
      <c r="BT42" s="13">
        <v>128</v>
      </c>
      <c r="BU42" s="13">
        <v>366</v>
      </c>
      <c r="BV42" s="13">
        <v>6</v>
      </c>
      <c r="BW42" s="13">
        <v>93</v>
      </c>
      <c r="BX42" s="13">
        <v>43</v>
      </c>
      <c r="BY42" s="13">
        <v>44</v>
      </c>
      <c r="BZ42" s="13">
        <v>39</v>
      </c>
      <c r="CA42" s="13">
        <v>349</v>
      </c>
      <c r="CB42" s="13">
        <v>284</v>
      </c>
      <c r="CC42" s="13">
        <v>493</v>
      </c>
      <c r="CD42" s="13">
        <v>491</v>
      </c>
      <c r="CE42" s="13">
        <v>34</v>
      </c>
      <c r="CF42" s="13">
        <v>93</v>
      </c>
      <c r="CG42" s="13">
        <v>4</v>
      </c>
      <c r="CH42" s="13">
        <v>43</v>
      </c>
      <c r="CI42" s="13">
        <v>210</v>
      </c>
      <c r="CJ42" s="13">
        <v>71</v>
      </c>
      <c r="CK42" s="13">
        <v>43</v>
      </c>
      <c r="CL42" s="13">
        <v>39</v>
      </c>
      <c r="CM42" s="13">
        <v>115</v>
      </c>
      <c r="CN42" s="13">
        <v>26</v>
      </c>
      <c r="CO42" s="13">
        <v>61</v>
      </c>
      <c r="CP42" s="13">
        <v>8</v>
      </c>
      <c r="CQ42" s="13">
        <v>637</v>
      </c>
      <c r="CR42" s="13">
        <v>249</v>
      </c>
      <c r="CS42" s="13">
        <v>189</v>
      </c>
      <c r="CT42" s="13">
        <v>243</v>
      </c>
      <c r="CU42" s="13">
        <v>538</v>
      </c>
      <c r="CV42" s="14">
        <v>12733</v>
      </c>
      <c r="CW42" s="13">
        <v>0</v>
      </c>
      <c r="CX42" s="13">
        <v>0</v>
      </c>
      <c r="CY42" s="13">
        <v>0</v>
      </c>
      <c r="CZ42" s="13">
        <v>9</v>
      </c>
      <c r="DA42" s="13">
        <v>0</v>
      </c>
      <c r="DB42" s="14">
        <v>9</v>
      </c>
      <c r="DC42" s="14">
        <v>12742</v>
      </c>
      <c r="DD42" s="13">
        <v>0</v>
      </c>
      <c r="DE42" s="13">
        <v>0</v>
      </c>
      <c r="DF42" s="13">
        <v>49</v>
      </c>
      <c r="DG42" s="13">
        <v>0</v>
      </c>
      <c r="DH42" s="13">
        <v>0</v>
      </c>
      <c r="DI42" s="13">
        <v>18</v>
      </c>
      <c r="DJ42" s="14">
        <v>67</v>
      </c>
      <c r="DK42" s="13">
        <v>1</v>
      </c>
      <c r="DL42" s="13">
        <v>0</v>
      </c>
      <c r="DM42" s="13">
        <v>0</v>
      </c>
      <c r="DN42" s="14">
        <v>12810</v>
      </c>
    </row>
    <row r="43" spans="1:118" ht="16" thickBot="1" x14ac:dyDescent="0.25">
      <c r="A43" s="10"/>
      <c r="B43" s="11" t="s">
        <v>402</v>
      </c>
      <c r="C43" s="12" t="s">
        <v>403</v>
      </c>
      <c r="D43" s="13">
        <v>1</v>
      </c>
      <c r="E43" s="13">
        <v>121</v>
      </c>
      <c r="F43" s="13">
        <v>0</v>
      </c>
      <c r="G43" s="13">
        <v>28</v>
      </c>
      <c r="H43" s="13">
        <v>2</v>
      </c>
      <c r="I43" s="13">
        <v>13</v>
      </c>
      <c r="J43" s="13">
        <v>2</v>
      </c>
      <c r="K43" s="13">
        <v>0</v>
      </c>
      <c r="L43" s="13">
        <v>22</v>
      </c>
      <c r="M43" s="13">
        <v>1</v>
      </c>
      <c r="N43" s="13">
        <v>5</v>
      </c>
      <c r="O43" s="13">
        <v>35</v>
      </c>
      <c r="P43" s="13">
        <v>221</v>
      </c>
      <c r="Q43" s="13">
        <v>0</v>
      </c>
      <c r="R43" s="13">
        <v>1</v>
      </c>
      <c r="S43" s="13">
        <v>1</v>
      </c>
      <c r="T43" s="13">
        <v>16</v>
      </c>
      <c r="U43" s="13">
        <v>0</v>
      </c>
      <c r="V43" s="13">
        <v>2</v>
      </c>
      <c r="W43" s="13">
        <v>2</v>
      </c>
      <c r="X43" s="13">
        <v>13</v>
      </c>
      <c r="Y43" s="13">
        <v>0</v>
      </c>
      <c r="Z43" s="13">
        <v>9</v>
      </c>
      <c r="AA43" s="13">
        <v>2</v>
      </c>
      <c r="AB43" s="13">
        <v>21</v>
      </c>
      <c r="AC43" s="13">
        <v>0</v>
      </c>
      <c r="AD43" s="13">
        <v>3</v>
      </c>
      <c r="AE43" s="13">
        <v>2</v>
      </c>
      <c r="AF43" s="13">
        <v>0</v>
      </c>
      <c r="AG43" s="13">
        <v>0</v>
      </c>
      <c r="AH43" s="13">
        <v>9</v>
      </c>
      <c r="AI43" s="13">
        <v>13</v>
      </c>
      <c r="AJ43" s="13">
        <v>22</v>
      </c>
      <c r="AK43" s="13">
        <v>71</v>
      </c>
      <c r="AL43" s="13">
        <v>2</v>
      </c>
      <c r="AM43" s="13">
        <v>84</v>
      </c>
      <c r="AN43" s="13">
        <v>0</v>
      </c>
      <c r="AO43" s="13">
        <v>0</v>
      </c>
      <c r="AP43" s="13">
        <v>40</v>
      </c>
      <c r="AQ43" s="13">
        <v>0</v>
      </c>
      <c r="AR43" s="13">
        <v>4</v>
      </c>
      <c r="AS43" s="13">
        <v>0</v>
      </c>
      <c r="AT43" s="13">
        <v>3</v>
      </c>
      <c r="AU43" s="13">
        <v>0</v>
      </c>
      <c r="AV43" s="13">
        <v>4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19</v>
      </c>
      <c r="BC43" s="13">
        <v>1</v>
      </c>
      <c r="BD43" s="13">
        <v>0</v>
      </c>
      <c r="BE43" s="13">
        <v>1</v>
      </c>
      <c r="BF43" s="13">
        <v>0</v>
      </c>
      <c r="BG43" s="13">
        <v>0</v>
      </c>
      <c r="BH43" s="13">
        <v>3</v>
      </c>
      <c r="BI43" s="13">
        <v>0</v>
      </c>
      <c r="BJ43" s="13">
        <v>2</v>
      </c>
      <c r="BK43" s="13">
        <v>4</v>
      </c>
      <c r="BL43" s="13">
        <v>127</v>
      </c>
      <c r="BM43" s="13">
        <v>1</v>
      </c>
      <c r="BN43" s="13">
        <v>0</v>
      </c>
      <c r="BO43" s="13">
        <v>0</v>
      </c>
      <c r="BP43" s="13">
        <v>38</v>
      </c>
      <c r="BQ43" s="13">
        <v>0</v>
      </c>
      <c r="BR43" s="13">
        <v>807</v>
      </c>
      <c r="BS43" s="13">
        <v>31</v>
      </c>
      <c r="BT43" s="13">
        <v>0</v>
      </c>
      <c r="BU43" s="13">
        <v>23</v>
      </c>
      <c r="BV43" s="13">
        <v>0</v>
      </c>
      <c r="BW43" s="13">
        <v>0</v>
      </c>
      <c r="BX43" s="13">
        <v>0</v>
      </c>
      <c r="BY43" s="13">
        <v>52</v>
      </c>
      <c r="BZ43" s="13">
        <v>6</v>
      </c>
      <c r="CA43" s="13">
        <v>255</v>
      </c>
      <c r="CB43" s="13">
        <v>0</v>
      </c>
      <c r="CC43" s="13">
        <v>136</v>
      </c>
      <c r="CD43" s="13">
        <v>89</v>
      </c>
      <c r="CE43" s="13">
        <v>0</v>
      </c>
      <c r="CF43" s="13">
        <v>1</v>
      </c>
      <c r="CG43" s="13">
        <v>1</v>
      </c>
      <c r="CH43" s="13">
        <v>0</v>
      </c>
      <c r="CI43" s="13">
        <v>12</v>
      </c>
      <c r="CJ43" s="13">
        <v>10</v>
      </c>
      <c r="CK43" s="13">
        <v>0</v>
      </c>
      <c r="CL43" s="13">
        <v>0</v>
      </c>
      <c r="CM43" s="13">
        <v>8</v>
      </c>
      <c r="CN43" s="13">
        <v>0</v>
      </c>
      <c r="CO43" s="13">
        <v>0</v>
      </c>
      <c r="CP43" s="13">
        <v>0</v>
      </c>
      <c r="CQ43" s="13">
        <v>44</v>
      </c>
      <c r="CR43" s="13">
        <v>71</v>
      </c>
      <c r="CS43" s="13">
        <v>35</v>
      </c>
      <c r="CT43" s="13">
        <v>161</v>
      </c>
      <c r="CU43" s="13">
        <v>10</v>
      </c>
      <c r="CV43" s="14">
        <v>2723</v>
      </c>
      <c r="CW43" s="13">
        <v>0</v>
      </c>
      <c r="CX43" s="13">
        <v>0</v>
      </c>
      <c r="CY43" s="13">
        <v>0</v>
      </c>
      <c r="CZ43" s="13">
        <v>6</v>
      </c>
      <c r="DA43" s="13">
        <v>0</v>
      </c>
      <c r="DB43" s="14">
        <v>6</v>
      </c>
      <c r="DC43" s="14">
        <v>2729</v>
      </c>
      <c r="DD43" s="13">
        <v>0</v>
      </c>
      <c r="DE43" s="13">
        <v>0</v>
      </c>
      <c r="DF43" s="13">
        <v>0</v>
      </c>
      <c r="DG43" s="13">
        <v>0</v>
      </c>
      <c r="DH43" s="13">
        <v>0</v>
      </c>
      <c r="DI43" s="13">
        <v>0</v>
      </c>
      <c r="DJ43" s="14">
        <v>0</v>
      </c>
      <c r="DK43" s="13">
        <v>0</v>
      </c>
      <c r="DL43" s="13">
        <v>0</v>
      </c>
      <c r="DM43" s="13">
        <v>0</v>
      </c>
      <c r="DN43" s="14">
        <v>2729</v>
      </c>
    </row>
    <row r="44" spans="1:118" ht="17" thickTop="1" thickBot="1" x14ac:dyDescent="0.25">
      <c r="A44" s="61" t="s">
        <v>404</v>
      </c>
      <c r="B44" s="61"/>
      <c r="C44" s="61"/>
      <c r="D44" s="8">
        <v>25734</v>
      </c>
      <c r="E44" s="8">
        <v>10741</v>
      </c>
      <c r="F44" s="8">
        <v>11880</v>
      </c>
      <c r="G44" s="8">
        <v>7988</v>
      </c>
      <c r="H44" s="8">
        <v>10146</v>
      </c>
      <c r="I44" s="8">
        <v>40051</v>
      </c>
      <c r="J44" s="8">
        <v>17092</v>
      </c>
      <c r="K44" s="8">
        <v>5971</v>
      </c>
      <c r="L44" s="8">
        <v>7834</v>
      </c>
      <c r="M44" s="8">
        <v>7299</v>
      </c>
      <c r="N44" s="8">
        <v>16701</v>
      </c>
      <c r="O44" s="8">
        <v>18937</v>
      </c>
      <c r="P44" s="8">
        <v>67588</v>
      </c>
      <c r="Q44" s="8">
        <v>16196</v>
      </c>
      <c r="R44" s="8">
        <v>5294</v>
      </c>
      <c r="S44" s="8">
        <v>10660</v>
      </c>
      <c r="T44" s="8">
        <v>21166</v>
      </c>
      <c r="U44" s="8">
        <v>7855</v>
      </c>
      <c r="V44" s="8">
        <v>7665</v>
      </c>
      <c r="W44" s="8">
        <v>17511</v>
      </c>
      <c r="X44" s="8">
        <v>19338</v>
      </c>
      <c r="Y44" s="8">
        <v>3411</v>
      </c>
      <c r="Z44" s="8">
        <v>11183</v>
      </c>
      <c r="AA44" s="8">
        <v>16033</v>
      </c>
      <c r="AB44" s="8">
        <v>24415</v>
      </c>
      <c r="AC44" s="8">
        <v>16660</v>
      </c>
      <c r="AD44" s="8">
        <v>10702</v>
      </c>
      <c r="AE44" s="8">
        <v>25268</v>
      </c>
      <c r="AF44" s="8">
        <v>4774</v>
      </c>
      <c r="AG44" s="8">
        <v>6204</v>
      </c>
      <c r="AH44" s="8">
        <v>28272</v>
      </c>
      <c r="AI44" s="8">
        <v>51682</v>
      </c>
      <c r="AJ44" s="8">
        <v>9589</v>
      </c>
      <c r="AK44" s="8">
        <v>48736</v>
      </c>
      <c r="AL44" s="8">
        <v>43961</v>
      </c>
      <c r="AM44" s="8">
        <v>31975</v>
      </c>
      <c r="AN44" s="8">
        <v>5903</v>
      </c>
      <c r="AO44" s="8">
        <v>18977</v>
      </c>
      <c r="AP44" s="8">
        <v>53990</v>
      </c>
      <c r="AQ44" s="8">
        <v>7911</v>
      </c>
      <c r="AR44" s="8">
        <v>21100</v>
      </c>
      <c r="AS44" s="8">
        <v>9831</v>
      </c>
      <c r="AT44" s="8">
        <v>24957</v>
      </c>
      <c r="AU44" s="8">
        <v>9458</v>
      </c>
      <c r="AV44" s="8">
        <v>35314</v>
      </c>
      <c r="AW44" s="8">
        <v>22962</v>
      </c>
      <c r="AX44" s="8">
        <v>9039</v>
      </c>
      <c r="AY44" s="8">
        <v>14184</v>
      </c>
      <c r="AZ44" s="8">
        <v>3553</v>
      </c>
      <c r="BA44" s="8">
        <v>18190</v>
      </c>
      <c r="BB44" s="8">
        <v>12517</v>
      </c>
      <c r="BC44" s="8">
        <v>11596</v>
      </c>
      <c r="BD44" s="8">
        <v>3455</v>
      </c>
      <c r="BE44" s="8">
        <v>8340</v>
      </c>
      <c r="BF44" s="8">
        <v>19135</v>
      </c>
      <c r="BG44" s="8">
        <v>4201</v>
      </c>
      <c r="BH44" s="8">
        <v>21645</v>
      </c>
      <c r="BI44" s="8">
        <v>24943</v>
      </c>
      <c r="BJ44" s="8">
        <v>6765</v>
      </c>
      <c r="BK44" s="8">
        <v>45294</v>
      </c>
      <c r="BL44" s="8">
        <v>20846</v>
      </c>
      <c r="BM44" s="8">
        <v>6888</v>
      </c>
      <c r="BN44" s="8">
        <v>25865</v>
      </c>
      <c r="BO44" s="8">
        <v>20475</v>
      </c>
      <c r="BP44" s="8">
        <v>30611</v>
      </c>
      <c r="BQ44" s="8">
        <v>10041</v>
      </c>
      <c r="BR44" s="8">
        <v>21922</v>
      </c>
      <c r="BS44" s="8">
        <v>24931</v>
      </c>
      <c r="BT44" s="8">
        <v>19048</v>
      </c>
      <c r="BU44" s="8">
        <v>51983</v>
      </c>
      <c r="BV44" s="8">
        <v>6607</v>
      </c>
      <c r="BW44" s="8">
        <v>15896</v>
      </c>
      <c r="BX44" s="8">
        <v>16044</v>
      </c>
      <c r="BY44" s="8">
        <v>22368</v>
      </c>
      <c r="BZ44" s="8">
        <v>40398</v>
      </c>
      <c r="CA44" s="8">
        <v>34247</v>
      </c>
      <c r="CB44" s="8">
        <v>26102</v>
      </c>
      <c r="CC44" s="8">
        <v>39159</v>
      </c>
      <c r="CD44" s="8">
        <v>40114</v>
      </c>
      <c r="CE44" s="8">
        <v>10799</v>
      </c>
      <c r="CF44" s="8">
        <v>12839</v>
      </c>
      <c r="CG44" s="8">
        <v>17370</v>
      </c>
      <c r="CH44" s="8">
        <v>10698</v>
      </c>
      <c r="CI44" s="8" t="s">
        <v>115</v>
      </c>
      <c r="CJ44" s="8">
        <v>23719</v>
      </c>
      <c r="CK44" s="8">
        <v>19879</v>
      </c>
      <c r="CL44" s="8">
        <v>13515</v>
      </c>
      <c r="CM44" s="8">
        <v>9674</v>
      </c>
      <c r="CN44" s="8">
        <v>8643</v>
      </c>
      <c r="CO44" s="8">
        <v>8797</v>
      </c>
      <c r="CP44" s="8">
        <v>3491</v>
      </c>
      <c r="CQ44" s="8">
        <v>35847</v>
      </c>
      <c r="CR44" s="8">
        <v>33784</v>
      </c>
      <c r="CS44" s="8">
        <v>22375</v>
      </c>
      <c r="CT44" s="8">
        <v>27206</v>
      </c>
      <c r="CU44" s="8">
        <v>29840</v>
      </c>
      <c r="CV44" s="9">
        <v>1906871</v>
      </c>
      <c r="CW44" s="8">
        <v>8825</v>
      </c>
      <c r="CX44" s="8">
        <v>7793</v>
      </c>
      <c r="CY44" s="8">
        <v>2329</v>
      </c>
      <c r="CZ44" s="8">
        <v>19419</v>
      </c>
      <c r="DA44" s="8">
        <v>2309</v>
      </c>
      <c r="DB44" s="9">
        <v>40675</v>
      </c>
      <c r="DC44" s="9">
        <v>1947546</v>
      </c>
      <c r="DD44" s="8">
        <v>237</v>
      </c>
      <c r="DE44" s="8">
        <v>307</v>
      </c>
      <c r="DF44" s="8">
        <v>488</v>
      </c>
      <c r="DG44" s="8">
        <v>189</v>
      </c>
      <c r="DH44" s="8">
        <v>3577</v>
      </c>
      <c r="DI44" s="8">
        <v>4272</v>
      </c>
      <c r="DJ44" s="9">
        <v>9070</v>
      </c>
      <c r="DK44" s="8">
        <v>682</v>
      </c>
      <c r="DL44" s="8">
        <v>12578</v>
      </c>
      <c r="DM44" s="8">
        <v>542</v>
      </c>
      <c r="DN44" s="9">
        <v>1970418</v>
      </c>
    </row>
    <row r="45" spans="1:118" ht="16" thickTop="1" x14ac:dyDescent="0.2">
      <c r="A45" s="10"/>
      <c r="B45" s="11" t="s">
        <v>405</v>
      </c>
      <c r="C45" s="12" t="s">
        <v>406</v>
      </c>
      <c r="D45" s="13">
        <v>3432</v>
      </c>
      <c r="E45" s="13">
        <v>2821</v>
      </c>
      <c r="F45" s="13">
        <v>4561</v>
      </c>
      <c r="G45" s="13">
        <v>2061</v>
      </c>
      <c r="H45" s="13">
        <v>1524</v>
      </c>
      <c r="I45" s="13">
        <v>7452</v>
      </c>
      <c r="J45" s="13">
        <v>4756</v>
      </c>
      <c r="K45" s="13">
        <v>1907</v>
      </c>
      <c r="L45" s="13">
        <v>2356</v>
      </c>
      <c r="M45" s="13">
        <v>710</v>
      </c>
      <c r="N45" s="13">
        <v>4287</v>
      </c>
      <c r="O45" s="13">
        <v>4016</v>
      </c>
      <c r="P45" s="13">
        <v>11533</v>
      </c>
      <c r="Q45" s="13">
        <v>1864</v>
      </c>
      <c r="R45" s="13">
        <v>2066</v>
      </c>
      <c r="S45" s="13">
        <v>2446</v>
      </c>
      <c r="T45" s="13">
        <v>3593</v>
      </c>
      <c r="U45" s="13">
        <v>2125</v>
      </c>
      <c r="V45" s="13">
        <v>1731</v>
      </c>
      <c r="W45" s="13">
        <v>2331</v>
      </c>
      <c r="X45" s="13">
        <v>1918</v>
      </c>
      <c r="Y45" s="13">
        <v>1144</v>
      </c>
      <c r="Z45" s="13">
        <v>2246</v>
      </c>
      <c r="AA45" s="13">
        <v>1997</v>
      </c>
      <c r="AB45" s="13">
        <v>4968</v>
      </c>
      <c r="AC45" s="13">
        <v>1650</v>
      </c>
      <c r="AD45" s="13">
        <v>1031</v>
      </c>
      <c r="AE45" s="13">
        <v>4543</v>
      </c>
      <c r="AF45" s="13">
        <v>1058</v>
      </c>
      <c r="AG45" s="13">
        <v>1462</v>
      </c>
      <c r="AH45" s="13">
        <v>7085</v>
      </c>
      <c r="AI45" s="13">
        <v>10946</v>
      </c>
      <c r="AJ45" s="13">
        <v>2785</v>
      </c>
      <c r="AK45" s="13">
        <v>6793</v>
      </c>
      <c r="AL45" s="13">
        <v>9650</v>
      </c>
      <c r="AM45" s="13">
        <v>3295</v>
      </c>
      <c r="AN45" s="13">
        <v>1240</v>
      </c>
      <c r="AO45" s="13">
        <v>2175</v>
      </c>
      <c r="AP45" s="13">
        <v>5225</v>
      </c>
      <c r="AQ45" s="13">
        <v>1655</v>
      </c>
      <c r="AR45" s="13">
        <v>3951</v>
      </c>
      <c r="AS45" s="13">
        <v>1676</v>
      </c>
      <c r="AT45" s="13">
        <v>3494</v>
      </c>
      <c r="AU45" s="13">
        <v>3072</v>
      </c>
      <c r="AV45" s="13">
        <v>3029</v>
      </c>
      <c r="AW45" s="13">
        <v>2747</v>
      </c>
      <c r="AX45" s="13">
        <v>2614</v>
      </c>
      <c r="AY45" s="13">
        <v>3216</v>
      </c>
      <c r="AZ45" s="13">
        <v>1018</v>
      </c>
      <c r="BA45" s="13">
        <v>3478</v>
      </c>
      <c r="BB45" s="13">
        <v>2378</v>
      </c>
      <c r="BC45" s="13">
        <v>1302</v>
      </c>
      <c r="BD45" s="13">
        <v>540</v>
      </c>
      <c r="BE45" s="13">
        <v>2254</v>
      </c>
      <c r="BF45" s="13">
        <v>2670</v>
      </c>
      <c r="BG45" s="13">
        <v>580</v>
      </c>
      <c r="BH45" s="13">
        <v>2118</v>
      </c>
      <c r="BI45" s="13">
        <v>5230</v>
      </c>
      <c r="BJ45" s="13">
        <v>1814</v>
      </c>
      <c r="BK45" s="13">
        <v>5619</v>
      </c>
      <c r="BL45" s="13">
        <v>3082</v>
      </c>
      <c r="BM45" s="13">
        <v>1075</v>
      </c>
      <c r="BN45" s="13">
        <v>2344</v>
      </c>
      <c r="BO45" s="13">
        <v>6093</v>
      </c>
      <c r="BP45" s="13">
        <v>2140</v>
      </c>
      <c r="BQ45" s="13">
        <v>1856</v>
      </c>
      <c r="BR45" s="13">
        <v>4501</v>
      </c>
      <c r="BS45" s="13">
        <v>2378</v>
      </c>
      <c r="BT45" s="13">
        <v>1367</v>
      </c>
      <c r="BU45" s="13">
        <v>4883</v>
      </c>
      <c r="BV45" s="13">
        <v>1421</v>
      </c>
      <c r="BW45" s="13">
        <v>4194</v>
      </c>
      <c r="BX45" s="13">
        <v>2233</v>
      </c>
      <c r="BY45" s="13">
        <v>1379</v>
      </c>
      <c r="BZ45" s="13">
        <v>2010</v>
      </c>
      <c r="CA45" s="13">
        <v>1737</v>
      </c>
      <c r="CB45" s="13">
        <v>2980</v>
      </c>
      <c r="CC45" s="13">
        <v>4887</v>
      </c>
      <c r="CD45" s="13">
        <v>2545</v>
      </c>
      <c r="CE45" s="13">
        <v>2314</v>
      </c>
      <c r="CF45" s="13">
        <v>1582</v>
      </c>
      <c r="CG45" s="13">
        <v>4447</v>
      </c>
      <c r="CH45" s="13">
        <v>3625</v>
      </c>
      <c r="CI45" s="13">
        <v>6164</v>
      </c>
      <c r="CJ45" s="13">
        <v>5636</v>
      </c>
      <c r="CK45" s="13">
        <v>3790</v>
      </c>
      <c r="CL45" s="13">
        <v>1967</v>
      </c>
      <c r="CM45" s="13">
        <v>2757</v>
      </c>
      <c r="CN45" s="13">
        <v>1622</v>
      </c>
      <c r="CO45" s="13">
        <v>1963</v>
      </c>
      <c r="CP45" s="13">
        <v>392</v>
      </c>
      <c r="CQ45" s="13">
        <v>3173</v>
      </c>
      <c r="CR45" s="13">
        <v>2013</v>
      </c>
      <c r="CS45" s="13">
        <v>1995</v>
      </c>
      <c r="CT45" s="13">
        <v>2365</v>
      </c>
      <c r="CU45" s="13">
        <v>2719</v>
      </c>
      <c r="CV45" s="14">
        <v>294867</v>
      </c>
      <c r="CW45" s="13">
        <v>785</v>
      </c>
      <c r="CX45" s="13">
        <v>1404</v>
      </c>
      <c r="CY45" s="13">
        <v>260</v>
      </c>
      <c r="CZ45" s="13">
        <v>2493</v>
      </c>
      <c r="DA45" s="13">
        <v>327</v>
      </c>
      <c r="DB45" s="14">
        <v>5269</v>
      </c>
      <c r="DC45" s="14">
        <v>300136</v>
      </c>
      <c r="DD45" s="13">
        <v>0</v>
      </c>
      <c r="DE45" s="13">
        <v>104</v>
      </c>
      <c r="DF45" s="13">
        <v>88</v>
      </c>
      <c r="DG45" s="13">
        <v>132</v>
      </c>
      <c r="DH45" s="13">
        <v>1892</v>
      </c>
      <c r="DI45" s="13">
        <v>489</v>
      </c>
      <c r="DJ45" s="14">
        <v>2705</v>
      </c>
      <c r="DK45" s="13">
        <v>79</v>
      </c>
      <c r="DL45" s="13">
        <v>0</v>
      </c>
      <c r="DM45" s="13">
        <v>0</v>
      </c>
      <c r="DN45" s="14">
        <v>302920</v>
      </c>
    </row>
    <row r="46" spans="1:118" x14ac:dyDescent="0.2">
      <c r="A46" s="10"/>
      <c r="B46" s="11" t="s">
        <v>407</v>
      </c>
      <c r="C46" s="12" t="s">
        <v>408</v>
      </c>
      <c r="D46" s="13">
        <v>1835</v>
      </c>
      <c r="E46" s="13">
        <v>1595</v>
      </c>
      <c r="F46" s="13">
        <v>818</v>
      </c>
      <c r="G46" s="13">
        <v>656</v>
      </c>
      <c r="H46" s="13">
        <v>443</v>
      </c>
      <c r="I46" s="13">
        <v>7122</v>
      </c>
      <c r="J46" s="13">
        <v>1040</v>
      </c>
      <c r="K46" s="13">
        <v>1144</v>
      </c>
      <c r="L46" s="13">
        <v>471</v>
      </c>
      <c r="M46" s="13">
        <v>1027</v>
      </c>
      <c r="N46" s="13">
        <v>1064</v>
      </c>
      <c r="O46" s="13">
        <v>777</v>
      </c>
      <c r="P46" s="13">
        <v>8713</v>
      </c>
      <c r="Q46" s="13">
        <v>2498</v>
      </c>
      <c r="R46" s="13">
        <v>114</v>
      </c>
      <c r="S46" s="13">
        <v>691</v>
      </c>
      <c r="T46" s="13">
        <v>1854</v>
      </c>
      <c r="U46" s="13">
        <v>855</v>
      </c>
      <c r="V46" s="13">
        <v>1120</v>
      </c>
      <c r="W46" s="13">
        <v>2061</v>
      </c>
      <c r="X46" s="13">
        <v>1256</v>
      </c>
      <c r="Y46" s="13">
        <v>207</v>
      </c>
      <c r="Z46" s="13">
        <v>1186</v>
      </c>
      <c r="AA46" s="13">
        <v>2523</v>
      </c>
      <c r="AB46" s="13">
        <v>1094</v>
      </c>
      <c r="AC46" s="13">
        <v>3587</v>
      </c>
      <c r="AD46" s="13">
        <v>1556</v>
      </c>
      <c r="AE46" s="13">
        <v>2304</v>
      </c>
      <c r="AF46" s="13">
        <v>519</v>
      </c>
      <c r="AG46" s="13">
        <v>743</v>
      </c>
      <c r="AH46" s="13">
        <v>2991</v>
      </c>
      <c r="AI46" s="13">
        <v>5587</v>
      </c>
      <c r="AJ46" s="13">
        <v>476</v>
      </c>
      <c r="AK46" s="13">
        <v>5554</v>
      </c>
      <c r="AL46" s="13">
        <v>3834</v>
      </c>
      <c r="AM46" s="13">
        <v>2856</v>
      </c>
      <c r="AN46" s="13">
        <v>746</v>
      </c>
      <c r="AO46" s="13">
        <v>2645</v>
      </c>
      <c r="AP46" s="13">
        <v>5038</v>
      </c>
      <c r="AQ46" s="13">
        <v>511</v>
      </c>
      <c r="AR46" s="13">
        <v>1225</v>
      </c>
      <c r="AS46" s="13">
        <v>657</v>
      </c>
      <c r="AT46" s="13">
        <v>3251</v>
      </c>
      <c r="AU46" s="13">
        <v>674</v>
      </c>
      <c r="AV46" s="13">
        <v>4807</v>
      </c>
      <c r="AW46" s="13">
        <v>3047</v>
      </c>
      <c r="AX46" s="13">
        <v>866</v>
      </c>
      <c r="AY46" s="13">
        <v>1014</v>
      </c>
      <c r="AZ46" s="13">
        <v>202</v>
      </c>
      <c r="BA46" s="13">
        <v>2215</v>
      </c>
      <c r="BB46" s="13">
        <v>1459</v>
      </c>
      <c r="BC46" s="13">
        <v>1534</v>
      </c>
      <c r="BD46" s="13">
        <v>278</v>
      </c>
      <c r="BE46" s="13">
        <v>659</v>
      </c>
      <c r="BF46" s="13">
        <v>2575</v>
      </c>
      <c r="BG46" s="13">
        <v>742</v>
      </c>
      <c r="BH46" s="13">
        <v>2639</v>
      </c>
      <c r="BI46" s="13">
        <v>3838</v>
      </c>
      <c r="BJ46" s="13">
        <v>566</v>
      </c>
      <c r="BK46" s="13">
        <v>9078</v>
      </c>
      <c r="BL46" s="13">
        <v>4316</v>
      </c>
      <c r="BM46" s="13">
        <v>871</v>
      </c>
      <c r="BN46" s="13">
        <v>3645</v>
      </c>
      <c r="BO46" s="13">
        <v>2155</v>
      </c>
      <c r="BP46" s="13">
        <v>1942</v>
      </c>
      <c r="BQ46" s="13">
        <v>992</v>
      </c>
      <c r="BR46" s="13">
        <v>1833</v>
      </c>
      <c r="BS46" s="13">
        <v>4138</v>
      </c>
      <c r="BT46" s="13">
        <v>3578</v>
      </c>
      <c r="BU46" s="13">
        <v>6323</v>
      </c>
      <c r="BV46" s="13">
        <v>597</v>
      </c>
      <c r="BW46" s="13">
        <v>1274</v>
      </c>
      <c r="BX46" s="13">
        <v>1524</v>
      </c>
      <c r="BY46" s="13">
        <v>2221</v>
      </c>
      <c r="BZ46" s="13">
        <v>2570</v>
      </c>
      <c r="CA46" s="13">
        <v>6084</v>
      </c>
      <c r="CB46" s="13">
        <v>4361</v>
      </c>
      <c r="CC46" s="13">
        <v>8315</v>
      </c>
      <c r="CD46" s="13">
        <v>9597</v>
      </c>
      <c r="CE46" s="13">
        <v>861</v>
      </c>
      <c r="CF46" s="13">
        <v>1066</v>
      </c>
      <c r="CG46" s="13">
        <v>1197</v>
      </c>
      <c r="CH46" s="13">
        <v>869</v>
      </c>
      <c r="CI46" s="13">
        <v>6430</v>
      </c>
      <c r="CJ46" s="13">
        <v>1887</v>
      </c>
      <c r="CK46" s="13">
        <v>1954</v>
      </c>
      <c r="CL46" s="13">
        <v>1336</v>
      </c>
      <c r="CM46" s="13">
        <v>713</v>
      </c>
      <c r="CN46" s="13">
        <v>717</v>
      </c>
      <c r="CO46" s="13">
        <v>1099</v>
      </c>
      <c r="CP46" s="13">
        <v>271</v>
      </c>
      <c r="CQ46" s="13">
        <v>7803</v>
      </c>
      <c r="CR46" s="13">
        <v>6769</v>
      </c>
      <c r="CS46" s="13">
        <v>5878</v>
      </c>
      <c r="CT46" s="13">
        <v>5946</v>
      </c>
      <c r="CU46" s="13">
        <v>7896</v>
      </c>
      <c r="CV46" s="14">
        <v>241465</v>
      </c>
      <c r="CW46" s="13">
        <v>1229</v>
      </c>
      <c r="CX46" s="13">
        <v>1301</v>
      </c>
      <c r="CY46" s="13">
        <v>401</v>
      </c>
      <c r="CZ46" s="13">
        <v>3473</v>
      </c>
      <c r="DA46" s="13">
        <v>206</v>
      </c>
      <c r="DB46" s="14">
        <v>6610</v>
      </c>
      <c r="DC46" s="14">
        <v>248075</v>
      </c>
      <c r="DD46" s="13">
        <v>65</v>
      </c>
      <c r="DE46" s="13">
        <v>13</v>
      </c>
      <c r="DF46" s="13">
        <v>215</v>
      </c>
      <c r="DG46" s="13">
        <v>0</v>
      </c>
      <c r="DH46" s="13">
        <v>230</v>
      </c>
      <c r="DI46" s="13">
        <v>916</v>
      </c>
      <c r="DJ46" s="14">
        <v>1439</v>
      </c>
      <c r="DK46" s="13">
        <v>138</v>
      </c>
      <c r="DL46" s="13">
        <v>67</v>
      </c>
      <c r="DM46" s="13">
        <v>0</v>
      </c>
      <c r="DN46" s="14">
        <v>249719</v>
      </c>
    </row>
    <row r="47" spans="1:118" x14ac:dyDescent="0.2">
      <c r="A47" s="10"/>
      <c r="B47" s="11" t="s">
        <v>409</v>
      </c>
      <c r="C47" s="12" t="s">
        <v>410</v>
      </c>
      <c r="D47" s="13">
        <v>2207</v>
      </c>
      <c r="E47" s="13">
        <v>782</v>
      </c>
      <c r="F47" s="13">
        <v>968</v>
      </c>
      <c r="G47" s="13">
        <v>1023</v>
      </c>
      <c r="H47" s="13">
        <v>594</v>
      </c>
      <c r="I47" s="13">
        <v>5328</v>
      </c>
      <c r="J47" s="13">
        <v>1987</v>
      </c>
      <c r="K47" s="13">
        <v>222</v>
      </c>
      <c r="L47" s="13">
        <v>877</v>
      </c>
      <c r="M47" s="13">
        <v>792</v>
      </c>
      <c r="N47" s="13">
        <v>1634</v>
      </c>
      <c r="O47" s="13">
        <v>3359</v>
      </c>
      <c r="P47" s="13">
        <v>8529</v>
      </c>
      <c r="Q47" s="13">
        <v>1397</v>
      </c>
      <c r="R47" s="13">
        <v>384</v>
      </c>
      <c r="S47" s="13">
        <v>1384</v>
      </c>
      <c r="T47" s="13">
        <v>3689</v>
      </c>
      <c r="U47" s="13">
        <v>791</v>
      </c>
      <c r="V47" s="13">
        <v>790</v>
      </c>
      <c r="W47" s="13">
        <v>3824</v>
      </c>
      <c r="X47" s="13">
        <v>4986</v>
      </c>
      <c r="Y47" s="13">
        <v>564</v>
      </c>
      <c r="Z47" s="13">
        <v>1812</v>
      </c>
      <c r="AA47" s="13">
        <v>2021</v>
      </c>
      <c r="AB47" s="13">
        <v>3863</v>
      </c>
      <c r="AC47" s="13">
        <v>2099</v>
      </c>
      <c r="AD47" s="13">
        <v>2118</v>
      </c>
      <c r="AE47" s="13">
        <v>2438</v>
      </c>
      <c r="AF47" s="13">
        <v>221</v>
      </c>
      <c r="AG47" s="13">
        <v>194</v>
      </c>
      <c r="AH47" s="13">
        <v>3023</v>
      </c>
      <c r="AI47" s="13">
        <v>3259</v>
      </c>
      <c r="AJ47" s="13">
        <v>1396</v>
      </c>
      <c r="AK47" s="13">
        <v>5750</v>
      </c>
      <c r="AL47" s="13">
        <v>4522</v>
      </c>
      <c r="AM47" s="13">
        <v>5401</v>
      </c>
      <c r="AN47" s="13">
        <v>893</v>
      </c>
      <c r="AO47" s="13">
        <v>4155</v>
      </c>
      <c r="AP47" s="13">
        <v>3560</v>
      </c>
      <c r="AQ47" s="13">
        <v>970</v>
      </c>
      <c r="AR47" s="13">
        <v>1884</v>
      </c>
      <c r="AS47" s="13">
        <v>2129</v>
      </c>
      <c r="AT47" s="13">
        <v>4393</v>
      </c>
      <c r="AU47" s="13">
        <v>954</v>
      </c>
      <c r="AV47" s="13">
        <v>5755</v>
      </c>
      <c r="AW47" s="13">
        <v>4459</v>
      </c>
      <c r="AX47" s="13">
        <v>1179</v>
      </c>
      <c r="AY47" s="13">
        <v>2536</v>
      </c>
      <c r="AZ47" s="13">
        <v>616</v>
      </c>
      <c r="BA47" s="13">
        <v>3143</v>
      </c>
      <c r="BB47" s="13">
        <v>1198</v>
      </c>
      <c r="BC47" s="13">
        <v>1477</v>
      </c>
      <c r="BD47" s="13">
        <v>455</v>
      </c>
      <c r="BE47" s="13">
        <v>1341</v>
      </c>
      <c r="BF47" s="13">
        <v>2828</v>
      </c>
      <c r="BG47" s="13">
        <v>632</v>
      </c>
      <c r="BH47" s="13">
        <v>3924</v>
      </c>
      <c r="BI47" s="13">
        <v>2023</v>
      </c>
      <c r="BJ47" s="13">
        <v>1499</v>
      </c>
      <c r="BK47" s="13">
        <v>4554</v>
      </c>
      <c r="BL47" s="13">
        <v>1970</v>
      </c>
      <c r="BM47" s="13">
        <v>697</v>
      </c>
      <c r="BN47" s="13">
        <v>3523</v>
      </c>
      <c r="BO47" s="13">
        <v>1220</v>
      </c>
      <c r="BP47" s="13">
        <v>2886</v>
      </c>
      <c r="BQ47" s="13">
        <v>540</v>
      </c>
      <c r="BR47" s="13">
        <v>4272</v>
      </c>
      <c r="BS47" s="13">
        <v>672</v>
      </c>
      <c r="BT47" s="13">
        <v>125</v>
      </c>
      <c r="BU47" s="13">
        <v>3717</v>
      </c>
      <c r="BV47" s="13">
        <v>785</v>
      </c>
      <c r="BW47" s="13">
        <v>1221</v>
      </c>
      <c r="BX47" s="13">
        <v>2141</v>
      </c>
      <c r="BY47" s="13">
        <v>1287</v>
      </c>
      <c r="BZ47" s="13">
        <v>3917</v>
      </c>
      <c r="CA47" s="13">
        <v>1718</v>
      </c>
      <c r="CB47" s="13">
        <v>3983</v>
      </c>
      <c r="CC47" s="13">
        <v>5939</v>
      </c>
      <c r="CD47" s="13">
        <v>4509</v>
      </c>
      <c r="CE47" s="13">
        <v>2652</v>
      </c>
      <c r="CF47" s="13">
        <v>2028</v>
      </c>
      <c r="CG47" s="13">
        <v>2580</v>
      </c>
      <c r="CH47" s="13">
        <v>863</v>
      </c>
      <c r="CI47" s="13">
        <v>8147</v>
      </c>
      <c r="CJ47" s="13">
        <v>3142</v>
      </c>
      <c r="CK47" s="13">
        <v>3118</v>
      </c>
      <c r="CL47" s="13">
        <v>2880</v>
      </c>
      <c r="CM47" s="13">
        <v>837</v>
      </c>
      <c r="CN47" s="13">
        <v>541</v>
      </c>
      <c r="CO47" s="13">
        <v>1124</v>
      </c>
      <c r="CP47" s="13">
        <v>186</v>
      </c>
      <c r="CQ47" s="13">
        <v>5960</v>
      </c>
      <c r="CR47" s="13">
        <v>2721</v>
      </c>
      <c r="CS47" s="13">
        <v>2414</v>
      </c>
      <c r="CT47" s="13">
        <v>2324</v>
      </c>
      <c r="CU47" s="13">
        <v>3382</v>
      </c>
      <c r="CV47" s="14">
        <v>230806</v>
      </c>
      <c r="CW47" s="13">
        <v>584</v>
      </c>
      <c r="CX47" s="13">
        <v>1073</v>
      </c>
      <c r="CY47" s="13">
        <v>26</v>
      </c>
      <c r="CZ47" s="13">
        <v>1527</v>
      </c>
      <c r="DA47" s="13">
        <v>47</v>
      </c>
      <c r="DB47" s="14">
        <v>3257</v>
      </c>
      <c r="DC47" s="14">
        <v>234063</v>
      </c>
      <c r="DD47" s="13">
        <v>0</v>
      </c>
      <c r="DE47" s="13">
        <v>0</v>
      </c>
      <c r="DF47" s="13">
        <v>98</v>
      </c>
      <c r="DG47" s="13">
        <v>0</v>
      </c>
      <c r="DH47" s="13">
        <v>308</v>
      </c>
      <c r="DI47" s="13">
        <v>0</v>
      </c>
      <c r="DJ47" s="14">
        <v>406</v>
      </c>
      <c r="DK47" s="13">
        <v>20</v>
      </c>
      <c r="DL47" s="13">
        <v>266</v>
      </c>
      <c r="DM47" s="13">
        <v>0</v>
      </c>
      <c r="DN47" s="14">
        <v>234755</v>
      </c>
    </row>
    <row r="48" spans="1:118" x14ac:dyDescent="0.2">
      <c r="A48" s="10"/>
      <c r="B48" s="11" t="s">
        <v>411</v>
      </c>
      <c r="C48" s="12" t="s">
        <v>412</v>
      </c>
      <c r="D48" s="13">
        <v>1351</v>
      </c>
      <c r="E48" s="13">
        <v>679</v>
      </c>
      <c r="F48" s="13">
        <v>514</v>
      </c>
      <c r="G48" s="13">
        <v>286</v>
      </c>
      <c r="H48" s="13">
        <v>347</v>
      </c>
      <c r="I48" s="13">
        <v>2614</v>
      </c>
      <c r="J48" s="13">
        <v>578</v>
      </c>
      <c r="K48" s="13">
        <v>233</v>
      </c>
      <c r="L48" s="13">
        <v>283</v>
      </c>
      <c r="M48" s="13">
        <v>492</v>
      </c>
      <c r="N48" s="13">
        <v>659</v>
      </c>
      <c r="O48" s="13">
        <v>363</v>
      </c>
      <c r="P48" s="13">
        <v>5324</v>
      </c>
      <c r="Q48" s="13">
        <v>1325</v>
      </c>
      <c r="R48" s="13">
        <v>134</v>
      </c>
      <c r="S48" s="13">
        <v>482</v>
      </c>
      <c r="T48" s="13">
        <v>1680</v>
      </c>
      <c r="U48" s="13">
        <v>400</v>
      </c>
      <c r="V48" s="13">
        <v>353</v>
      </c>
      <c r="W48" s="13">
        <v>848</v>
      </c>
      <c r="X48" s="13">
        <v>1377</v>
      </c>
      <c r="Y48" s="13">
        <v>87</v>
      </c>
      <c r="Z48" s="13">
        <v>472</v>
      </c>
      <c r="AA48" s="13">
        <v>789</v>
      </c>
      <c r="AB48" s="13">
        <v>1224</v>
      </c>
      <c r="AC48" s="13">
        <v>951</v>
      </c>
      <c r="AD48" s="13">
        <v>724</v>
      </c>
      <c r="AE48" s="13">
        <v>2560</v>
      </c>
      <c r="AF48" s="13">
        <v>590</v>
      </c>
      <c r="AG48" s="13">
        <v>471</v>
      </c>
      <c r="AH48" s="13">
        <v>1379</v>
      </c>
      <c r="AI48" s="13">
        <v>3817</v>
      </c>
      <c r="AJ48" s="13">
        <v>256</v>
      </c>
      <c r="AK48" s="13">
        <v>3995</v>
      </c>
      <c r="AL48" s="13">
        <v>2498</v>
      </c>
      <c r="AM48" s="13">
        <v>2698</v>
      </c>
      <c r="AN48" s="13">
        <v>310</v>
      </c>
      <c r="AO48" s="13">
        <v>1401</v>
      </c>
      <c r="AP48" s="13">
        <v>3300</v>
      </c>
      <c r="AQ48" s="13">
        <v>333</v>
      </c>
      <c r="AR48" s="13">
        <v>847</v>
      </c>
      <c r="AS48" s="13">
        <v>468</v>
      </c>
      <c r="AT48" s="13">
        <v>1120</v>
      </c>
      <c r="AU48" s="13">
        <v>278</v>
      </c>
      <c r="AV48" s="13">
        <v>2928</v>
      </c>
      <c r="AW48" s="13">
        <v>1394</v>
      </c>
      <c r="AX48" s="13">
        <v>317</v>
      </c>
      <c r="AY48" s="13">
        <v>580</v>
      </c>
      <c r="AZ48" s="13">
        <v>27</v>
      </c>
      <c r="BA48" s="13">
        <v>1089</v>
      </c>
      <c r="BB48" s="13">
        <v>991</v>
      </c>
      <c r="BC48" s="13">
        <v>893</v>
      </c>
      <c r="BD48" s="13">
        <v>263</v>
      </c>
      <c r="BE48" s="13">
        <v>450</v>
      </c>
      <c r="BF48" s="13">
        <v>1322</v>
      </c>
      <c r="BG48" s="13">
        <v>319</v>
      </c>
      <c r="BH48" s="13">
        <v>2114</v>
      </c>
      <c r="BI48" s="13">
        <v>1828</v>
      </c>
      <c r="BJ48" s="13">
        <v>169</v>
      </c>
      <c r="BK48" s="13">
        <v>3315</v>
      </c>
      <c r="BL48" s="13">
        <v>1266</v>
      </c>
      <c r="BM48" s="13">
        <v>350</v>
      </c>
      <c r="BN48" s="13">
        <v>1411</v>
      </c>
      <c r="BO48" s="13">
        <v>1312</v>
      </c>
      <c r="BP48" s="13">
        <v>961</v>
      </c>
      <c r="BQ48" s="13">
        <v>258</v>
      </c>
      <c r="BR48" s="13">
        <v>1177</v>
      </c>
      <c r="BS48" s="13">
        <v>2103</v>
      </c>
      <c r="BT48" s="13">
        <v>1433</v>
      </c>
      <c r="BU48" s="13">
        <v>4391</v>
      </c>
      <c r="BV48" s="13">
        <v>297</v>
      </c>
      <c r="BW48" s="13">
        <v>874</v>
      </c>
      <c r="BX48" s="13">
        <v>813</v>
      </c>
      <c r="BY48" s="13">
        <v>786</v>
      </c>
      <c r="BZ48" s="13">
        <v>1786</v>
      </c>
      <c r="CA48" s="13">
        <v>4286</v>
      </c>
      <c r="CB48" s="13">
        <v>2097</v>
      </c>
      <c r="CC48" s="13">
        <v>2969</v>
      </c>
      <c r="CD48" s="13">
        <v>4054</v>
      </c>
      <c r="CE48" s="13">
        <v>578</v>
      </c>
      <c r="CF48" s="13">
        <v>867</v>
      </c>
      <c r="CG48" s="13">
        <v>868</v>
      </c>
      <c r="CH48" s="13">
        <v>312</v>
      </c>
      <c r="CI48" s="13">
        <v>3352</v>
      </c>
      <c r="CJ48" s="13">
        <v>1096</v>
      </c>
      <c r="CK48" s="13">
        <v>1083</v>
      </c>
      <c r="CL48" s="13">
        <v>805</v>
      </c>
      <c r="CM48" s="13">
        <v>602</v>
      </c>
      <c r="CN48" s="13">
        <v>575</v>
      </c>
      <c r="CO48" s="13">
        <v>527</v>
      </c>
      <c r="CP48" s="13">
        <v>333</v>
      </c>
      <c r="CQ48" s="13">
        <v>3277</v>
      </c>
      <c r="CR48" s="13">
        <v>4639</v>
      </c>
      <c r="CS48" s="13">
        <v>1759</v>
      </c>
      <c r="CT48" s="13">
        <v>2791</v>
      </c>
      <c r="CU48" s="13">
        <v>2879</v>
      </c>
      <c r="CV48" s="14">
        <v>127856</v>
      </c>
      <c r="CW48" s="13">
        <v>891</v>
      </c>
      <c r="CX48" s="13">
        <v>911</v>
      </c>
      <c r="CY48" s="13">
        <v>203</v>
      </c>
      <c r="CZ48" s="13">
        <v>1719</v>
      </c>
      <c r="DA48" s="13">
        <v>133</v>
      </c>
      <c r="DB48" s="14">
        <v>3857</v>
      </c>
      <c r="DC48" s="14">
        <v>131713</v>
      </c>
      <c r="DD48" s="13">
        <v>65</v>
      </c>
      <c r="DE48" s="13">
        <v>158</v>
      </c>
      <c r="DF48" s="13">
        <v>28</v>
      </c>
      <c r="DG48" s="13">
        <v>14</v>
      </c>
      <c r="DH48" s="13">
        <v>716</v>
      </c>
      <c r="DI48" s="13">
        <v>664</v>
      </c>
      <c r="DJ48" s="14">
        <v>1645</v>
      </c>
      <c r="DK48" s="13">
        <v>19</v>
      </c>
      <c r="DL48" s="13">
        <v>1368</v>
      </c>
      <c r="DM48" s="13">
        <v>0</v>
      </c>
      <c r="DN48" s="14">
        <v>134745</v>
      </c>
    </row>
    <row r="49" spans="1:118" x14ac:dyDescent="0.2">
      <c r="A49" s="10"/>
      <c r="B49" s="11" t="s">
        <v>413</v>
      </c>
      <c r="C49" s="12" t="s">
        <v>414</v>
      </c>
      <c r="D49" s="13">
        <v>2280</v>
      </c>
      <c r="E49" s="13">
        <v>128</v>
      </c>
      <c r="F49" s="13">
        <v>207</v>
      </c>
      <c r="G49" s="13">
        <v>720</v>
      </c>
      <c r="H49" s="13">
        <v>3547</v>
      </c>
      <c r="I49" s="13">
        <v>2817</v>
      </c>
      <c r="J49" s="13">
        <v>918</v>
      </c>
      <c r="K49" s="13">
        <v>149</v>
      </c>
      <c r="L49" s="13">
        <v>805</v>
      </c>
      <c r="M49" s="13">
        <v>391</v>
      </c>
      <c r="N49" s="13">
        <v>574</v>
      </c>
      <c r="O49" s="13">
        <v>554</v>
      </c>
      <c r="P49" s="13">
        <v>3128</v>
      </c>
      <c r="Q49" s="13">
        <v>309</v>
      </c>
      <c r="R49" s="13">
        <v>447</v>
      </c>
      <c r="S49" s="13">
        <v>282</v>
      </c>
      <c r="T49" s="13">
        <v>358</v>
      </c>
      <c r="U49" s="13">
        <v>209</v>
      </c>
      <c r="V49" s="13">
        <v>391</v>
      </c>
      <c r="W49" s="13">
        <v>695</v>
      </c>
      <c r="X49" s="13">
        <v>30</v>
      </c>
      <c r="Y49" s="13">
        <v>231</v>
      </c>
      <c r="Z49" s="13">
        <v>308</v>
      </c>
      <c r="AA49" s="13">
        <v>1672</v>
      </c>
      <c r="AB49" s="13">
        <v>2211</v>
      </c>
      <c r="AC49" s="13">
        <v>190</v>
      </c>
      <c r="AD49" s="13">
        <v>29</v>
      </c>
      <c r="AE49" s="13">
        <v>314</v>
      </c>
      <c r="AF49" s="13">
        <v>83</v>
      </c>
      <c r="AG49" s="13">
        <v>219</v>
      </c>
      <c r="AH49" s="13">
        <v>1229</v>
      </c>
      <c r="AI49" s="13">
        <v>3821</v>
      </c>
      <c r="AJ49" s="13">
        <v>523</v>
      </c>
      <c r="AK49" s="13">
        <v>1566</v>
      </c>
      <c r="AL49" s="13">
        <v>1522</v>
      </c>
      <c r="AM49" s="13">
        <v>588</v>
      </c>
      <c r="AN49" s="13">
        <v>63</v>
      </c>
      <c r="AO49" s="13">
        <v>415</v>
      </c>
      <c r="AP49" s="13">
        <v>10455</v>
      </c>
      <c r="AQ49" s="13">
        <v>715</v>
      </c>
      <c r="AR49" s="13">
        <v>248</v>
      </c>
      <c r="AS49" s="13">
        <v>237</v>
      </c>
      <c r="AT49" s="13">
        <v>1251</v>
      </c>
      <c r="AU49" s="13">
        <v>776</v>
      </c>
      <c r="AV49" s="13">
        <v>1533</v>
      </c>
      <c r="AW49" s="13">
        <v>796</v>
      </c>
      <c r="AX49" s="13">
        <v>308</v>
      </c>
      <c r="AY49" s="13">
        <v>322</v>
      </c>
      <c r="AZ49" s="13">
        <v>403</v>
      </c>
      <c r="BA49" s="13">
        <v>1004</v>
      </c>
      <c r="BB49" s="13">
        <v>217</v>
      </c>
      <c r="BC49" s="13">
        <v>557</v>
      </c>
      <c r="BD49" s="13">
        <v>57</v>
      </c>
      <c r="BE49" s="13">
        <v>36</v>
      </c>
      <c r="BF49" s="13">
        <v>599</v>
      </c>
      <c r="BG49" s="13">
        <v>65</v>
      </c>
      <c r="BH49" s="13">
        <v>356</v>
      </c>
      <c r="BI49" s="13">
        <v>417</v>
      </c>
      <c r="BJ49" s="13">
        <v>29</v>
      </c>
      <c r="BK49" s="13">
        <v>661</v>
      </c>
      <c r="BL49" s="13">
        <v>483</v>
      </c>
      <c r="BM49" s="13">
        <v>280</v>
      </c>
      <c r="BN49" s="13">
        <v>574</v>
      </c>
      <c r="BO49" s="13">
        <v>1126</v>
      </c>
      <c r="BP49" s="13">
        <v>2691</v>
      </c>
      <c r="BQ49" s="13">
        <v>1515</v>
      </c>
      <c r="BR49" s="13">
        <v>917</v>
      </c>
      <c r="BS49" s="13">
        <v>1541</v>
      </c>
      <c r="BT49" s="13">
        <v>1434</v>
      </c>
      <c r="BU49" s="13">
        <v>4101</v>
      </c>
      <c r="BV49" s="13">
        <v>446</v>
      </c>
      <c r="BW49" s="13">
        <v>1158</v>
      </c>
      <c r="BX49" s="13">
        <v>1211</v>
      </c>
      <c r="BY49" s="13">
        <v>6533</v>
      </c>
      <c r="BZ49" s="13">
        <v>14266</v>
      </c>
      <c r="CA49" s="13">
        <v>2033</v>
      </c>
      <c r="CB49" s="13">
        <v>959</v>
      </c>
      <c r="CC49" s="13">
        <v>478</v>
      </c>
      <c r="CD49" s="13">
        <v>621</v>
      </c>
      <c r="CE49" s="13">
        <v>248</v>
      </c>
      <c r="CF49" s="13">
        <v>26</v>
      </c>
      <c r="CG49" s="13">
        <v>480</v>
      </c>
      <c r="CH49" s="13">
        <v>107</v>
      </c>
      <c r="CI49" s="13">
        <v>1635</v>
      </c>
      <c r="CJ49" s="13">
        <v>815</v>
      </c>
      <c r="CK49" s="13">
        <v>322</v>
      </c>
      <c r="CL49" s="13">
        <v>119</v>
      </c>
      <c r="CM49" s="13">
        <v>267</v>
      </c>
      <c r="CN49" s="13">
        <v>658</v>
      </c>
      <c r="CO49" s="13">
        <v>390</v>
      </c>
      <c r="CP49" s="13">
        <v>420</v>
      </c>
      <c r="CQ49" s="13">
        <v>294</v>
      </c>
      <c r="CR49" s="13">
        <v>779</v>
      </c>
      <c r="CS49" s="13">
        <v>474</v>
      </c>
      <c r="CT49" s="13">
        <v>360</v>
      </c>
      <c r="CU49" s="13">
        <v>104</v>
      </c>
      <c r="CV49" s="14">
        <v>104830</v>
      </c>
      <c r="CW49" s="13">
        <v>0</v>
      </c>
      <c r="CX49" s="13">
        <v>0</v>
      </c>
      <c r="CY49" s="13">
        <v>2</v>
      </c>
      <c r="CZ49" s="13">
        <v>92</v>
      </c>
      <c r="DA49" s="13">
        <v>1</v>
      </c>
      <c r="DB49" s="14">
        <v>95</v>
      </c>
      <c r="DC49" s="14">
        <v>104925</v>
      </c>
      <c r="DD49" s="13">
        <v>0</v>
      </c>
      <c r="DE49" s="13">
        <v>0</v>
      </c>
      <c r="DF49" s="13">
        <v>0</v>
      </c>
      <c r="DG49" s="13">
        <v>0</v>
      </c>
      <c r="DH49" s="13">
        <v>3</v>
      </c>
      <c r="DI49" s="13">
        <v>5</v>
      </c>
      <c r="DJ49" s="14">
        <v>8</v>
      </c>
      <c r="DK49" s="13">
        <v>29</v>
      </c>
      <c r="DL49" s="13">
        <v>3304</v>
      </c>
      <c r="DM49" s="13">
        <v>0</v>
      </c>
      <c r="DN49" s="14">
        <v>108266</v>
      </c>
    </row>
    <row r="50" spans="1:118" x14ac:dyDescent="0.2">
      <c r="A50" s="10"/>
      <c r="B50" s="11" t="s">
        <v>415</v>
      </c>
      <c r="C50" s="12" t="s">
        <v>416</v>
      </c>
      <c r="D50" s="13">
        <v>1231</v>
      </c>
      <c r="E50" s="13">
        <v>377</v>
      </c>
      <c r="F50" s="13">
        <v>900</v>
      </c>
      <c r="G50" s="13">
        <v>296</v>
      </c>
      <c r="H50" s="13">
        <v>202</v>
      </c>
      <c r="I50" s="13">
        <v>329</v>
      </c>
      <c r="J50" s="13">
        <v>1091</v>
      </c>
      <c r="K50" s="13">
        <v>112</v>
      </c>
      <c r="L50" s="13">
        <v>423</v>
      </c>
      <c r="M50" s="13">
        <v>659</v>
      </c>
      <c r="N50" s="13">
        <v>1111</v>
      </c>
      <c r="O50" s="13">
        <v>607</v>
      </c>
      <c r="P50" s="13">
        <v>2281</v>
      </c>
      <c r="Q50" s="13">
        <v>918</v>
      </c>
      <c r="R50" s="13">
        <v>372</v>
      </c>
      <c r="S50" s="13">
        <v>755</v>
      </c>
      <c r="T50" s="13">
        <v>1239</v>
      </c>
      <c r="U50" s="13">
        <v>573</v>
      </c>
      <c r="V50" s="13">
        <v>900</v>
      </c>
      <c r="W50" s="13">
        <v>1380</v>
      </c>
      <c r="X50" s="13">
        <v>2393</v>
      </c>
      <c r="Y50" s="13">
        <v>136</v>
      </c>
      <c r="Z50" s="13">
        <v>477</v>
      </c>
      <c r="AA50" s="13">
        <v>304</v>
      </c>
      <c r="AB50" s="13">
        <v>1602</v>
      </c>
      <c r="AC50" s="13">
        <v>1293</v>
      </c>
      <c r="AD50" s="13">
        <v>634</v>
      </c>
      <c r="AE50" s="13">
        <v>2399</v>
      </c>
      <c r="AF50" s="13">
        <v>25</v>
      </c>
      <c r="AG50" s="13">
        <v>3</v>
      </c>
      <c r="AH50" s="13">
        <v>961</v>
      </c>
      <c r="AI50" s="13">
        <v>1823</v>
      </c>
      <c r="AJ50" s="13">
        <v>722</v>
      </c>
      <c r="AK50" s="13">
        <v>1747</v>
      </c>
      <c r="AL50" s="13">
        <v>1442</v>
      </c>
      <c r="AM50" s="13">
        <v>3274</v>
      </c>
      <c r="AN50" s="13">
        <v>344</v>
      </c>
      <c r="AO50" s="13">
        <v>1234</v>
      </c>
      <c r="AP50" s="13">
        <v>3268</v>
      </c>
      <c r="AQ50" s="13">
        <v>453</v>
      </c>
      <c r="AR50" s="13">
        <v>1096</v>
      </c>
      <c r="AS50" s="13">
        <v>1259</v>
      </c>
      <c r="AT50" s="13">
        <v>1639</v>
      </c>
      <c r="AU50" s="13">
        <v>513</v>
      </c>
      <c r="AV50" s="13">
        <v>3469</v>
      </c>
      <c r="AW50" s="13">
        <v>984</v>
      </c>
      <c r="AX50" s="13">
        <v>650</v>
      </c>
      <c r="AY50" s="13">
        <v>298</v>
      </c>
      <c r="AZ50" s="13">
        <v>220</v>
      </c>
      <c r="BA50" s="13">
        <v>2047</v>
      </c>
      <c r="BB50" s="13">
        <v>836</v>
      </c>
      <c r="BC50" s="13">
        <v>571</v>
      </c>
      <c r="BD50" s="13">
        <v>245</v>
      </c>
      <c r="BE50" s="13">
        <v>1073</v>
      </c>
      <c r="BF50" s="13">
        <v>1095</v>
      </c>
      <c r="BG50" s="13">
        <v>159</v>
      </c>
      <c r="BH50" s="13">
        <v>1861</v>
      </c>
      <c r="BI50" s="13">
        <v>1664</v>
      </c>
      <c r="BJ50" s="13">
        <v>610</v>
      </c>
      <c r="BK50" s="13">
        <v>2471</v>
      </c>
      <c r="BL50" s="13">
        <v>790</v>
      </c>
      <c r="BM50" s="13">
        <v>1040</v>
      </c>
      <c r="BN50" s="13">
        <v>1935</v>
      </c>
      <c r="BO50" s="13">
        <v>982</v>
      </c>
      <c r="BP50" s="13">
        <v>1666</v>
      </c>
      <c r="BQ50" s="13">
        <v>602</v>
      </c>
      <c r="BR50" s="13">
        <v>1017</v>
      </c>
      <c r="BS50" s="13">
        <v>1455</v>
      </c>
      <c r="BT50" s="13">
        <v>853</v>
      </c>
      <c r="BU50" s="13">
        <v>2675</v>
      </c>
      <c r="BV50" s="13">
        <v>399</v>
      </c>
      <c r="BW50" s="13">
        <v>566</v>
      </c>
      <c r="BX50" s="13">
        <v>1616</v>
      </c>
      <c r="BY50" s="13">
        <v>1520</v>
      </c>
      <c r="BZ50" s="13">
        <v>1720</v>
      </c>
      <c r="CA50" s="13">
        <v>547</v>
      </c>
      <c r="CB50" s="13">
        <v>1329</v>
      </c>
      <c r="CC50" s="13">
        <v>1549</v>
      </c>
      <c r="CD50" s="13">
        <v>3247</v>
      </c>
      <c r="CE50" s="13">
        <v>876</v>
      </c>
      <c r="CF50" s="13">
        <v>403</v>
      </c>
      <c r="CG50" s="13">
        <v>932</v>
      </c>
      <c r="CH50" s="13">
        <v>765</v>
      </c>
      <c r="CI50" s="13">
        <v>2543</v>
      </c>
      <c r="CJ50" s="13">
        <v>1728</v>
      </c>
      <c r="CK50" s="13">
        <v>1722</v>
      </c>
      <c r="CL50" s="13">
        <v>1437</v>
      </c>
      <c r="CM50" s="13">
        <v>212</v>
      </c>
      <c r="CN50" s="13">
        <v>558</v>
      </c>
      <c r="CO50" s="13">
        <v>328</v>
      </c>
      <c r="CP50" s="13">
        <v>160</v>
      </c>
      <c r="CQ50" s="13">
        <v>1785</v>
      </c>
      <c r="CR50" s="13">
        <v>1318</v>
      </c>
      <c r="CS50" s="13">
        <v>418</v>
      </c>
      <c r="CT50" s="13">
        <v>1118</v>
      </c>
      <c r="CU50" s="13">
        <v>1300</v>
      </c>
      <c r="CV50" s="14">
        <v>106161</v>
      </c>
      <c r="CW50" s="13">
        <v>91</v>
      </c>
      <c r="CX50" s="13">
        <v>0</v>
      </c>
      <c r="CY50" s="13">
        <v>1</v>
      </c>
      <c r="CZ50" s="13">
        <v>133</v>
      </c>
      <c r="DA50" s="13">
        <v>0</v>
      </c>
      <c r="DB50" s="14">
        <v>225</v>
      </c>
      <c r="DC50" s="14">
        <v>106386</v>
      </c>
      <c r="DD50" s="13">
        <v>0</v>
      </c>
      <c r="DE50" s="13">
        <v>0</v>
      </c>
      <c r="DF50" s="13">
        <v>0</v>
      </c>
      <c r="DG50" s="13">
        <v>0</v>
      </c>
      <c r="DH50" s="13">
        <v>1</v>
      </c>
      <c r="DI50" s="13">
        <v>49</v>
      </c>
      <c r="DJ50" s="14">
        <v>50</v>
      </c>
      <c r="DK50" s="13">
        <v>3</v>
      </c>
      <c r="DL50" s="13">
        <v>294</v>
      </c>
      <c r="DM50" s="13">
        <v>0</v>
      </c>
      <c r="DN50" s="14">
        <v>106733</v>
      </c>
    </row>
    <row r="51" spans="1:118" x14ac:dyDescent="0.2">
      <c r="A51" s="10"/>
      <c r="B51" s="11" t="s">
        <v>417</v>
      </c>
      <c r="C51" s="12" t="s">
        <v>418</v>
      </c>
      <c r="D51" s="13">
        <v>634</v>
      </c>
      <c r="E51" s="13">
        <v>283</v>
      </c>
      <c r="F51" s="13">
        <v>240</v>
      </c>
      <c r="G51" s="13">
        <v>187</v>
      </c>
      <c r="H51" s="13">
        <v>190</v>
      </c>
      <c r="I51" s="13">
        <v>1724</v>
      </c>
      <c r="J51" s="13">
        <v>123</v>
      </c>
      <c r="K51" s="13">
        <v>293</v>
      </c>
      <c r="L51" s="13">
        <v>162</v>
      </c>
      <c r="M51" s="13">
        <v>153</v>
      </c>
      <c r="N51" s="13">
        <v>457</v>
      </c>
      <c r="O51" s="13">
        <v>88</v>
      </c>
      <c r="P51" s="13">
        <v>3301</v>
      </c>
      <c r="Q51" s="13">
        <v>732</v>
      </c>
      <c r="R51" s="13">
        <v>60</v>
      </c>
      <c r="S51" s="13">
        <v>367</v>
      </c>
      <c r="T51" s="13">
        <v>658</v>
      </c>
      <c r="U51" s="13">
        <v>88</v>
      </c>
      <c r="V51" s="13">
        <v>156</v>
      </c>
      <c r="W51" s="13">
        <v>461</v>
      </c>
      <c r="X51" s="13">
        <v>979</v>
      </c>
      <c r="Y51" s="13">
        <v>5</v>
      </c>
      <c r="Z51" s="13">
        <v>85</v>
      </c>
      <c r="AA51" s="13">
        <v>535</v>
      </c>
      <c r="AB51" s="13">
        <v>322</v>
      </c>
      <c r="AC51" s="13">
        <v>280</v>
      </c>
      <c r="AD51" s="13">
        <v>544</v>
      </c>
      <c r="AE51" s="13">
        <v>1025</v>
      </c>
      <c r="AF51" s="13">
        <v>172</v>
      </c>
      <c r="AG51" s="13">
        <v>511</v>
      </c>
      <c r="AH51" s="13">
        <v>600</v>
      </c>
      <c r="AI51" s="13">
        <v>1261</v>
      </c>
      <c r="AJ51" s="13">
        <v>344</v>
      </c>
      <c r="AK51" s="13">
        <v>2138</v>
      </c>
      <c r="AL51" s="13">
        <v>1279</v>
      </c>
      <c r="AM51" s="13">
        <v>1238</v>
      </c>
      <c r="AN51" s="13">
        <v>62</v>
      </c>
      <c r="AO51" s="13">
        <v>846</v>
      </c>
      <c r="AP51" s="13">
        <v>1073</v>
      </c>
      <c r="AQ51" s="13">
        <v>318</v>
      </c>
      <c r="AR51" s="13">
        <v>342</v>
      </c>
      <c r="AS51" s="13">
        <v>139</v>
      </c>
      <c r="AT51" s="13">
        <v>522</v>
      </c>
      <c r="AU51" s="13">
        <v>47</v>
      </c>
      <c r="AV51" s="13">
        <v>1865</v>
      </c>
      <c r="AW51" s="13">
        <v>1666</v>
      </c>
      <c r="AX51" s="13">
        <v>348</v>
      </c>
      <c r="AY51" s="13">
        <v>1212</v>
      </c>
      <c r="AZ51" s="13">
        <v>89</v>
      </c>
      <c r="BA51" s="13">
        <v>564</v>
      </c>
      <c r="BB51" s="13">
        <v>695</v>
      </c>
      <c r="BC51" s="13">
        <v>975</v>
      </c>
      <c r="BD51" s="13">
        <v>79</v>
      </c>
      <c r="BE51" s="13">
        <v>442</v>
      </c>
      <c r="BF51" s="13">
        <v>1353</v>
      </c>
      <c r="BG51" s="13">
        <v>84</v>
      </c>
      <c r="BH51" s="13">
        <v>1036</v>
      </c>
      <c r="BI51" s="13">
        <v>1116</v>
      </c>
      <c r="BJ51" s="13">
        <v>71</v>
      </c>
      <c r="BK51" s="13">
        <v>2273</v>
      </c>
      <c r="BL51" s="13">
        <v>422</v>
      </c>
      <c r="BM51" s="13">
        <v>230</v>
      </c>
      <c r="BN51" s="13">
        <v>634</v>
      </c>
      <c r="BO51" s="13">
        <v>476</v>
      </c>
      <c r="BP51" s="13">
        <v>587</v>
      </c>
      <c r="BQ51" s="13">
        <v>771</v>
      </c>
      <c r="BR51" s="13">
        <v>561</v>
      </c>
      <c r="BS51" s="13">
        <v>2097</v>
      </c>
      <c r="BT51" s="13">
        <v>1136</v>
      </c>
      <c r="BU51" s="13">
        <v>2590</v>
      </c>
      <c r="BV51" s="13">
        <v>37</v>
      </c>
      <c r="BW51" s="13">
        <v>317</v>
      </c>
      <c r="BX51" s="13">
        <v>716</v>
      </c>
      <c r="BY51" s="13">
        <v>538</v>
      </c>
      <c r="BZ51" s="13">
        <v>1280</v>
      </c>
      <c r="CA51" s="13">
        <v>3275</v>
      </c>
      <c r="CB51" s="13">
        <v>947</v>
      </c>
      <c r="CC51" s="13">
        <v>1098</v>
      </c>
      <c r="CD51" s="13">
        <v>1841</v>
      </c>
      <c r="CE51" s="13">
        <v>235</v>
      </c>
      <c r="CF51" s="13">
        <v>235</v>
      </c>
      <c r="CG51" s="13">
        <v>333</v>
      </c>
      <c r="CH51" s="13">
        <v>245</v>
      </c>
      <c r="CI51" s="13">
        <v>1850</v>
      </c>
      <c r="CJ51" s="13">
        <v>752</v>
      </c>
      <c r="CK51" s="13">
        <v>581</v>
      </c>
      <c r="CL51" s="13">
        <v>209</v>
      </c>
      <c r="CM51" s="13">
        <v>244</v>
      </c>
      <c r="CN51" s="13">
        <v>231</v>
      </c>
      <c r="CO51" s="13">
        <v>232</v>
      </c>
      <c r="CP51" s="13">
        <v>275</v>
      </c>
      <c r="CQ51" s="13">
        <v>1075</v>
      </c>
      <c r="CR51" s="13">
        <v>3342</v>
      </c>
      <c r="CS51" s="13">
        <v>1367</v>
      </c>
      <c r="CT51" s="13">
        <v>1971</v>
      </c>
      <c r="CU51" s="13">
        <v>1555</v>
      </c>
      <c r="CV51" s="14">
        <v>73177</v>
      </c>
      <c r="CW51" s="13">
        <v>435</v>
      </c>
      <c r="CX51" s="13">
        <v>567</v>
      </c>
      <c r="CY51" s="13">
        <v>192</v>
      </c>
      <c r="CZ51" s="13">
        <v>1507</v>
      </c>
      <c r="DA51" s="13">
        <v>0</v>
      </c>
      <c r="DB51" s="14">
        <v>2701</v>
      </c>
      <c r="DC51" s="14">
        <v>75878</v>
      </c>
      <c r="DD51" s="13">
        <v>29</v>
      </c>
      <c r="DE51" s="13">
        <v>6</v>
      </c>
      <c r="DF51" s="13">
        <v>1</v>
      </c>
      <c r="DG51" s="13">
        <v>0</v>
      </c>
      <c r="DH51" s="13">
        <v>3</v>
      </c>
      <c r="DI51" s="13">
        <v>164</v>
      </c>
      <c r="DJ51" s="14">
        <v>203</v>
      </c>
      <c r="DK51" s="13">
        <v>65</v>
      </c>
      <c r="DL51" s="13">
        <v>0</v>
      </c>
      <c r="DM51" s="13">
        <v>0</v>
      </c>
      <c r="DN51" s="14">
        <v>76146</v>
      </c>
    </row>
    <row r="52" spans="1:118" x14ac:dyDescent="0.2">
      <c r="A52" s="10"/>
      <c r="B52" s="11" t="s">
        <v>419</v>
      </c>
      <c r="C52" s="12" t="s">
        <v>420</v>
      </c>
      <c r="D52" s="13">
        <v>390</v>
      </c>
      <c r="E52" s="13">
        <v>204</v>
      </c>
      <c r="F52" s="13">
        <v>176</v>
      </c>
      <c r="G52" s="13">
        <v>63</v>
      </c>
      <c r="H52" s="13">
        <v>78</v>
      </c>
      <c r="I52" s="13">
        <v>1383</v>
      </c>
      <c r="J52" s="13">
        <v>123</v>
      </c>
      <c r="K52" s="13">
        <v>54</v>
      </c>
      <c r="L52" s="13">
        <v>115</v>
      </c>
      <c r="M52" s="13">
        <v>112</v>
      </c>
      <c r="N52" s="13">
        <v>744</v>
      </c>
      <c r="O52" s="13">
        <v>477</v>
      </c>
      <c r="P52" s="13">
        <v>1590</v>
      </c>
      <c r="Q52" s="13">
        <v>413</v>
      </c>
      <c r="R52" s="13">
        <v>13</v>
      </c>
      <c r="S52" s="13">
        <v>694</v>
      </c>
      <c r="T52" s="13">
        <v>762</v>
      </c>
      <c r="U52" s="13">
        <v>61</v>
      </c>
      <c r="V52" s="13">
        <v>15</v>
      </c>
      <c r="W52" s="13">
        <v>185</v>
      </c>
      <c r="X52" s="13">
        <v>1144</v>
      </c>
      <c r="Y52" s="13">
        <v>20</v>
      </c>
      <c r="Z52" s="13">
        <v>480</v>
      </c>
      <c r="AA52" s="13">
        <v>305</v>
      </c>
      <c r="AB52" s="13">
        <v>453</v>
      </c>
      <c r="AC52" s="13">
        <v>781</v>
      </c>
      <c r="AD52" s="13">
        <v>215</v>
      </c>
      <c r="AE52" s="13">
        <v>1852</v>
      </c>
      <c r="AF52" s="13">
        <v>7</v>
      </c>
      <c r="AG52" s="13">
        <v>36</v>
      </c>
      <c r="AH52" s="13">
        <v>662</v>
      </c>
      <c r="AI52" s="13">
        <v>2700</v>
      </c>
      <c r="AJ52" s="13">
        <v>143</v>
      </c>
      <c r="AK52" s="13">
        <v>2378</v>
      </c>
      <c r="AL52" s="13">
        <v>3817</v>
      </c>
      <c r="AM52" s="13">
        <v>4465</v>
      </c>
      <c r="AN52" s="13">
        <v>298</v>
      </c>
      <c r="AO52" s="13">
        <v>759</v>
      </c>
      <c r="AP52" s="13">
        <v>1988</v>
      </c>
      <c r="AQ52" s="13">
        <v>46</v>
      </c>
      <c r="AR52" s="13">
        <v>2114</v>
      </c>
      <c r="AS52" s="13">
        <v>324</v>
      </c>
      <c r="AT52" s="13">
        <v>250</v>
      </c>
      <c r="AU52" s="13">
        <v>22</v>
      </c>
      <c r="AV52" s="13">
        <v>727</v>
      </c>
      <c r="AW52" s="13">
        <v>1132</v>
      </c>
      <c r="AX52" s="13">
        <v>56</v>
      </c>
      <c r="AY52" s="13">
        <v>146</v>
      </c>
      <c r="AZ52" s="13">
        <v>17</v>
      </c>
      <c r="BA52" s="13">
        <v>404</v>
      </c>
      <c r="BB52" s="13">
        <v>589</v>
      </c>
      <c r="BC52" s="13">
        <v>74</v>
      </c>
      <c r="BD52" s="13">
        <v>43</v>
      </c>
      <c r="BE52" s="13">
        <v>318</v>
      </c>
      <c r="BF52" s="13">
        <v>278</v>
      </c>
      <c r="BG52" s="13">
        <v>29</v>
      </c>
      <c r="BH52" s="13">
        <v>1262</v>
      </c>
      <c r="BI52" s="13">
        <v>252</v>
      </c>
      <c r="BJ52" s="13">
        <v>73</v>
      </c>
      <c r="BK52" s="13">
        <v>1242</v>
      </c>
      <c r="BL52" s="13">
        <v>790</v>
      </c>
      <c r="BM52" s="13">
        <v>58</v>
      </c>
      <c r="BN52" s="13">
        <v>1205</v>
      </c>
      <c r="BO52" s="13">
        <v>39</v>
      </c>
      <c r="BP52" s="13">
        <v>2943</v>
      </c>
      <c r="BQ52" s="13">
        <v>694</v>
      </c>
      <c r="BR52" s="13">
        <v>1210</v>
      </c>
      <c r="BS52" s="13">
        <v>1062</v>
      </c>
      <c r="BT52" s="13">
        <v>734</v>
      </c>
      <c r="BU52" s="13">
        <v>1138</v>
      </c>
      <c r="BV52" s="13">
        <v>47</v>
      </c>
      <c r="BW52" s="13">
        <v>57</v>
      </c>
      <c r="BX52" s="13">
        <v>647</v>
      </c>
      <c r="BY52" s="13">
        <v>784</v>
      </c>
      <c r="BZ52" s="13">
        <v>652</v>
      </c>
      <c r="CA52" s="13">
        <v>1865</v>
      </c>
      <c r="CB52" s="13">
        <v>543</v>
      </c>
      <c r="CC52" s="13">
        <v>958</v>
      </c>
      <c r="CD52" s="13">
        <v>1266</v>
      </c>
      <c r="CE52" s="13">
        <v>283</v>
      </c>
      <c r="CF52" s="13">
        <v>542</v>
      </c>
      <c r="CG52" s="13">
        <v>913</v>
      </c>
      <c r="CH52" s="13">
        <v>640</v>
      </c>
      <c r="CI52" s="13">
        <v>2310</v>
      </c>
      <c r="CJ52" s="13">
        <v>1377</v>
      </c>
      <c r="CK52" s="13">
        <v>895</v>
      </c>
      <c r="CL52" s="13">
        <v>1391</v>
      </c>
      <c r="CM52" s="13">
        <v>45</v>
      </c>
      <c r="CN52" s="13">
        <v>128</v>
      </c>
      <c r="CO52" s="13">
        <v>312</v>
      </c>
      <c r="CP52" s="13">
        <v>66</v>
      </c>
      <c r="CQ52" s="13">
        <v>508</v>
      </c>
      <c r="CR52" s="13">
        <v>1406</v>
      </c>
      <c r="CS52" s="13">
        <v>1364</v>
      </c>
      <c r="CT52" s="13">
        <v>1275</v>
      </c>
      <c r="CU52" s="13">
        <v>922</v>
      </c>
      <c r="CV52" s="14">
        <v>70622</v>
      </c>
      <c r="CW52" s="13">
        <v>1867</v>
      </c>
      <c r="CX52" s="13">
        <v>211</v>
      </c>
      <c r="CY52" s="13">
        <v>276</v>
      </c>
      <c r="CZ52" s="13">
        <v>345</v>
      </c>
      <c r="DA52" s="13">
        <v>1057</v>
      </c>
      <c r="DB52" s="14">
        <v>3756</v>
      </c>
      <c r="DC52" s="14">
        <v>74378</v>
      </c>
      <c r="DD52" s="13">
        <v>8</v>
      </c>
      <c r="DE52" s="13">
        <v>3</v>
      </c>
      <c r="DF52" s="13">
        <v>0</v>
      </c>
      <c r="DG52" s="13">
        <v>0</v>
      </c>
      <c r="DH52" s="13">
        <v>1</v>
      </c>
      <c r="DI52" s="13">
        <v>231</v>
      </c>
      <c r="DJ52" s="14">
        <v>243</v>
      </c>
      <c r="DK52" s="13">
        <v>0</v>
      </c>
      <c r="DL52" s="13">
        <v>3</v>
      </c>
      <c r="DM52" s="13">
        <v>0</v>
      </c>
      <c r="DN52" s="14">
        <v>74624</v>
      </c>
    </row>
    <row r="53" spans="1:118" x14ac:dyDescent="0.2">
      <c r="A53" s="10"/>
      <c r="B53" s="11" t="s">
        <v>421</v>
      </c>
      <c r="C53" s="12" t="s">
        <v>422</v>
      </c>
      <c r="D53" s="13">
        <v>957</v>
      </c>
      <c r="E53" s="13">
        <v>212</v>
      </c>
      <c r="F53" s="13">
        <v>252</v>
      </c>
      <c r="G53" s="13">
        <v>278</v>
      </c>
      <c r="H53" s="13">
        <v>11</v>
      </c>
      <c r="I53" s="13">
        <v>1190</v>
      </c>
      <c r="J53" s="13">
        <v>323</v>
      </c>
      <c r="K53" s="13">
        <v>56</v>
      </c>
      <c r="L53" s="13">
        <v>123</v>
      </c>
      <c r="M53" s="13">
        <v>475</v>
      </c>
      <c r="N53" s="13">
        <v>445</v>
      </c>
      <c r="O53" s="13">
        <v>173</v>
      </c>
      <c r="P53" s="13">
        <v>4637</v>
      </c>
      <c r="Q53" s="13">
        <v>666</v>
      </c>
      <c r="R53" s="13">
        <v>260</v>
      </c>
      <c r="S53" s="13">
        <v>241</v>
      </c>
      <c r="T53" s="13">
        <v>523</v>
      </c>
      <c r="U53" s="13">
        <v>93</v>
      </c>
      <c r="V53" s="13">
        <v>298</v>
      </c>
      <c r="W53" s="13">
        <v>353</v>
      </c>
      <c r="X53" s="13">
        <v>246</v>
      </c>
      <c r="Y53" s="13">
        <v>121</v>
      </c>
      <c r="Z53" s="13">
        <v>261</v>
      </c>
      <c r="AA53" s="13">
        <v>889</v>
      </c>
      <c r="AB53" s="13">
        <v>580</v>
      </c>
      <c r="AC53" s="13">
        <v>620</v>
      </c>
      <c r="AD53" s="13">
        <v>233</v>
      </c>
      <c r="AE53" s="13">
        <v>1522</v>
      </c>
      <c r="AF53" s="13">
        <v>308</v>
      </c>
      <c r="AG53" s="13">
        <v>884</v>
      </c>
      <c r="AH53" s="13">
        <v>1258</v>
      </c>
      <c r="AI53" s="13">
        <v>1786</v>
      </c>
      <c r="AJ53" s="13">
        <v>177</v>
      </c>
      <c r="AK53" s="13">
        <v>2146</v>
      </c>
      <c r="AL53" s="13">
        <v>1028</v>
      </c>
      <c r="AM53" s="13">
        <v>660</v>
      </c>
      <c r="AN53" s="13">
        <v>102</v>
      </c>
      <c r="AO53" s="13">
        <v>673</v>
      </c>
      <c r="AP53" s="13">
        <v>2206</v>
      </c>
      <c r="AQ53" s="13">
        <v>111</v>
      </c>
      <c r="AR53" s="13">
        <v>304</v>
      </c>
      <c r="AS53" s="13">
        <v>34</v>
      </c>
      <c r="AT53" s="13">
        <v>883</v>
      </c>
      <c r="AU53" s="13">
        <v>300</v>
      </c>
      <c r="AV53" s="13">
        <v>731</v>
      </c>
      <c r="AW53" s="13">
        <v>727</v>
      </c>
      <c r="AX53" s="13">
        <v>212</v>
      </c>
      <c r="AY53" s="13">
        <v>300</v>
      </c>
      <c r="AZ53" s="13">
        <v>6</v>
      </c>
      <c r="BA53" s="13">
        <v>91</v>
      </c>
      <c r="BB53" s="13">
        <v>322</v>
      </c>
      <c r="BC53" s="13">
        <v>441</v>
      </c>
      <c r="BD53" s="13">
        <v>120</v>
      </c>
      <c r="BE53" s="13">
        <v>117</v>
      </c>
      <c r="BF53" s="13">
        <v>852</v>
      </c>
      <c r="BG53" s="13">
        <v>18</v>
      </c>
      <c r="BH53" s="13">
        <v>552</v>
      </c>
      <c r="BI53" s="13">
        <v>1543</v>
      </c>
      <c r="BJ53" s="13">
        <v>68</v>
      </c>
      <c r="BK53" s="13">
        <v>1778</v>
      </c>
      <c r="BL53" s="13">
        <v>569</v>
      </c>
      <c r="BM53" s="13">
        <v>196</v>
      </c>
      <c r="BN53" s="13">
        <v>1019</v>
      </c>
      <c r="BO53" s="13">
        <v>548</v>
      </c>
      <c r="BP53" s="13">
        <v>572</v>
      </c>
      <c r="BQ53" s="13">
        <v>315</v>
      </c>
      <c r="BR53" s="13">
        <v>323</v>
      </c>
      <c r="BS53" s="13">
        <v>1101</v>
      </c>
      <c r="BT53" s="13">
        <v>319</v>
      </c>
      <c r="BU53" s="13">
        <v>1941</v>
      </c>
      <c r="BV53" s="13">
        <v>227</v>
      </c>
      <c r="BW53" s="13">
        <v>359</v>
      </c>
      <c r="BX53" s="13">
        <v>383</v>
      </c>
      <c r="BY53" s="13">
        <v>239</v>
      </c>
      <c r="BZ53" s="13">
        <v>754</v>
      </c>
      <c r="CA53" s="13">
        <v>917</v>
      </c>
      <c r="CB53" s="13">
        <v>1846</v>
      </c>
      <c r="CC53" s="13">
        <v>1069</v>
      </c>
      <c r="CD53" s="13">
        <v>1368</v>
      </c>
      <c r="CE53" s="13">
        <v>56</v>
      </c>
      <c r="CF53" s="13">
        <v>213</v>
      </c>
      <c r="CG53" s="13">
        <v>323</v>
      </c>
      <c r="CH53" s="13">
        <v>634</v>
      </c>
      <c r="CI53" s="13">
        <v>1779</v>
      </c>
      <c r="CJ53" s="13">
        <v>985</v>
      </c>
      <c r="CK53" s="13">
        <v>437</v>
      </c>
      <c r="CL53" s="13">
        <v>11</v>
      </c>
      <c r="CM53" s="13">
        <v>317</v>
      </c>
      <c r="CN53" s="13">
        <v>181</v>
      </c>
      <c r="CO53" s="13">
        <v>317</v>
      </c>
      <c r="CP53" s="13">
        <v>157</v>
      </c>
      <c r="CQ53" s="13">
        <v>1158</v>
      </c>
      <c r="CR53" s="13">
        <v>1342</v>
      </c>
      <c r="CS53" s="13">
        <v>1597</v>
      </c>
      <c r="CT53" s="13">
        <v>681</v>
      </c>
      <c r="CU53" s="13">
        <v>1564</v>
      </c>
      <c r="CV53" s="14">
        <v>62593</v>
      </c>
      <c r="CW53" s="13">
        <v>64</v>
      </c>
      <c r="CX53" s="13">
        <v>368</v>
      </c>
      <c r="CY53" s="13">
        <v>267</v>
      </c>
      <c r="CZ53" s="13">
        <v>2412</v>
      </c>
      <c r="DA53" s="13">
        <v>451</v>
      </c>
      <c r="DB53" s="14">
        <v>3562</v>
      </c>
      <c r="DC53" s="14">
        <v>66155</v>
      </c>
      <c r="DD53" s="13">
        <v>0</v>
      </c>
      <c r="DE53" s="13">
        <v>0</v>
      </c>
      <c r="DF53" s="13">
        <v>0</v>
      </c>
      <c r="DG53" s="13">
        <v>0</v>
      </c>
      <c r="DH53" s="13">
        <v>0</v>
      </c>
      <c r="DI53" s="13">
        <v>15</v>
      </c>
      <c r="DJ53" s="14">
        <v>15</v>
      </c>
      <c r="DK53" s="13">
        <v>112</v>
      </c>
      <c r="DL53" s="13">
        <v>0</v>
      </c>
      <c r="DM53" s="13">
        <v>0</v>
      </c>
      <c r="DN53" s="14">
        <v>66282</v>
      </c>
    </row>
    <row r="54" spans="1:118" x14ac:dyDescent="0.2">
      <c r="A54" s="10"/>
      <c r="B54" s="11" t="s">
        <v>423</v>
      </c>
      <c r="C54" s="12" t="s">
        <v>424</v>
      </c>
      <c r="D54" s="13">
        <v>1236</v>
      </c>
      <c r="E54" s="13">
        <v>973</v>
      </c>
      <c r="F54" s="13">
        <v>586</v>
      </c>
      <c r="G54" s="13">
        <v>419</v>
      </c>
      <c r="H54" s="13">
        <v>278</v>
      </c>
      <c r="I54" s="13">
        <v>1116</v>
      </c>
      <c r="J54" s="13">
        <v>773</v>
      </c>
      <c r="K54" s="13">
        <v>561</v>
      </c>
      <c r="L54" s="13">
        <v>206</v>
      </c>
      <c r="M54" s="13">
        <v>626</v>
      </c>
      <c r="N54" s="13">
        <v>398</v>
      </c>
      <c r="O54" s="13">
        <v>531</v>
      </c>
      <c r="P54" s="13">
        <v>1821</v>
      </c>
      <c r="Q54" s="13">
        <v>847</v>
      </c>
      <c r="R54" s="13">
        <v>356</v>
      </c>
      <c r="S54" s="13">
        <v>455</v>
      </c>
      <c r="T54" s="13">
        <v>802</v>
      </c>
      <c r="U54" s="13">
        <v>425</v>
      </c>
      <c r="V54" s="13">
        <v>352</v>
      </c>
      <c r="W54" s="13">
        <v>638</v>
      </c>
      <c r="X54" s="13">
        <v>756</v>
      </c>
      <c r="Y54" s="13">
        <v>263</v>
      </c>
      <c r="Z54" s="13">
        <v>608</v>
      </c>
      <c r="AA54" s="13">
        <v>1021</v>
      </c>
      <c r="AB54" s="13">
        <v>644</v>
      </c>
      <c r="AC54" s="13">
        <v>1050</v>
      </c>
      <c r="AD54" s="13">
        <v>656</v>
      </c>
      <c r="AE54" s="13">
        <v>757</v>
      </c>
      <c r="AF54" s="13">
        <v>372</v>
      </c>
      <c r="AG54" s="13">
        <v>227</v>
      </c>
      <c r="AH54" s="13">
        <v>1078</v>
      </c>
      <c r="AI54" s="13">
        <v>1207</v>
      </c>
      <c r="AJ54" s="13">
        <v>350</v>
      </c>
      <c r="AK54" s="13">
        <v>1423</v>
      </c>
      <c r="AL54" s="13">
        <v>1035</v>
      </c>
      <c r="AM54" s="13">
        <v>983</v>
      </c>
      <c r="AN54" s="13">
        <v>140</v>
      </c>
      <c r="AO54" s="13">
        <v>470</v>
      </c>
      <c r="AP54" s="13">
        <v>972</v>
      </c>
      <c r="AQ54" s="13">
        <v>536</v>
      </c>
      <c r="AR54" s="13">
        <v>553</v>
      </c>
      <c r="AS54" s="13">
        <v>366</v>
      </c>
      <c r="AT54" s="13">
        <v>706</v>
      </c>
      <c r="AU54" s="13">
        <v>637</v>
      </c>
      <c r="AV54" s="13">
        <v>864</v>
      </c>
      <c r="AW54" s="13">
        <v>749</v>
      </c>
      <c r="AX54" s="13">
        <v>319</v>
      </c>
      <c r="AY54" s="13">
        <v>650</v>
      </c>
      <c r="AZ54" s="13">
        <v>223</v>
      </c>
      <c r="BA54" s="13">
        <v>584</v>
      </c>
      <c r="BB54" s="13">
        <v>841</v>
      </c>
      <c r="BC54" s="13">
        <v>736</v>
      </c>
      <c r="BD54" s="13">
        <v>308</v>
      </c>
      <c r="BE54" s="13">
        <v>282</v>
      </c>
      <c r="BF54" s="13">
        <v>699</v>
      </c>
      <c r="BG54" s="13">
        <v>339</v>
      </c>
      <c r="BH54" s="13">
        <v>649</v>
      </c>
      <c r="BI54" s="13">
        <v>922</v>
      </c>
      <c r="BJ54" s="13">
        <v>392</v>
      </c>
      <c r="BK54" s="13">
        <v>1637</v>
      </c>
      <c r="BL54" s="13">
        <v>1261</v>
      </c>
      <c r="BM54" s="13">
        <v>536</v>
      </c>
      <c r="BN54" s="13">
        <v>1550</v>
      </c>
      <c r="BO54" s="13">
        <v>887</v>
      </c>
      <c r="BP54" s="13">
        <v>696</v>
      </c>
      <c r="BQ54" s="13">
        <v>167</v>
      </c>
      <c r="BR54" s="13">
        <v>344</v>
      </c>
      <c r="BS54" s="13">
        <v>885</v>
      </c>
      <c r="BT54" s="13">
        <v>832</v>
      </c>
      <c r="BU54" s="13">
        <v>896</v>
      </c>
      <c r="BV54" s="13">
        <v>604</v>
      </c>
      <c r="BW54" s="13">
        <v>676</v>
      </c>
      <c r="BX54" s="13">
        <v>892</v>
      </c>
      <c r="BY54" s="13">
        <v>392</v>
      </c>
      <c r="BZ54" s="13">
        <v>795</v>
      </c>
      <c r="CA54" s="13">
        <v>144</v>
      </c>
      <c r="CB54" s="13">
        <v>1030</v>
      </c>
      <c r="CC54" s="13">
        <v>996</v>
      </c>
      <c r="CD54" s="13">
        <v>632</v>
      </c>
      <c r="CE54" s="13">
        <v>322</v>
      </c>
      <c r="CF54" s="13">
        <v>940</v>
      </c>
      <c r="CG54" s="13">
        <v>595</v>
      </c>
      <c r="CH54" s="13">
        <v>399</v>
      </c>
      <c r="CI54" s="13">
        <v>1370</v>
      </c>
      <c r="CJ54" s="13">
        <v>1138</v>
      </c>
      <c r="CK54" s="13">
        <v>1219</v>
      </c>
      <c r="CL54" s="13">
        <v>417</v>
      </c>
      <c r="CM54" s="13">
        <v>376</v>
      </c>
      <c r="CN54" s="13">
        <v>550</v>
      </c>
      <c r="CO54" s="13">
        <v>440</v>
      </c>
      <c r="CP54" s="13">
        <v>200</v>
      </c>
      <c r="CQ54" s="13">
        <v>696</v>
      </c>
      <c r="CR54" s="13">
        <v>192</v>
      </c>
      <c r="CS54" s="13">
        <v>154</v>
      </c>
      <c r="CT54" s="13">
        <v>182</v>
      </c>
      <c r="CU54" s="13">
        <v>398</v>
      </c>
      <c r="CV54" s="14">
        <v>64206</v>
      </c>
      <c r="CW54" s="13">
        <v>850</v>
      </c>
      <c r="CX54" s="13">
        <v>218</v>
      </c>
      <c r="CY54" s="13">
        <v>25</v>
      </c>
      <c r="CZ54" s="13">
        <v>521</v>
      </c>
      <c r="DA54" s="13">
        <v>0</v>
      </c>
      <c r="DB54" s="14">
        <v>1614</v>
      </c>
      <c r="DC54" s="14">
        <v>65820</v>
      </c>
      <c r="DD54" s="13">
        <v>0</v>
      </c>
      <c r="DE54" s="13">
        <v>0</v>
      </c>
      <c r="DF54" s="13">
        <v>18</v>
      </c>
      <c r="DG54" s="13">
        <v>0</v>
      </c>
      <c r="DH54" s="13">
        <v>1</v>
      </c>
      <c r="DI54" s="13">
        <v>166</v>
      </c>
      <c r="DJ54" s="14">
        <v>185</v>
      </c>
      <c r="DK54" s="13">
        <v>27</v>
      </c>
      <c r="DL54" s="13">
        <v>147</v>
      </c>
      <c r="DM54" s="13">
        <v>0</v>
      </c>
      <c r="DN54" s="14">
        <v>66179</v>
      </c>
    </row>
    <row r="55" spans="1:118" x14ac:dyDescent="0.2">
      <c r="A55" s="10"/>
      <c r="B55" s="11" t="s">
        <v>425</v>
      </c>
      <c r="C55" s="12" t="s">
        <v>426</v>
      </c>
      <c r="D55" s="13">
        <v>692</v>
      </c>
      <c r="E55" s="13">
        <v>207</v>
      </c>
      <c r="F55" s="13">
        <v>142</v>
      </c>
      <c r="G55" s="13">
        <v>135</v>
      </c>
      <c r="H55" s="13">
        <v>29</v>
      </c>
      <c r="I55" s="13">
        <v>672</v>
      </c>
      <c r="J55" s="13">
        <v>366</v>
      </c>
      <c r="K55" s="13">
        <v>124</v>
      </c>
      <c r="L55" s="13">
        <v>289</v>
      </c>
      <c r="M55" s="13">
        <v>41</v>
      </c>
      <c r="N55" s="13">
        <v>521</v>
      </c>
      <c r="O55" s="13">
        <v>168</v>
      </c>
      <c r="P55" s="13">
        <v>2054</v>
      </c>
      <c r="Q55" s="13">
        <v>328</v>
      </c>
      <c r="R55" s="13">
        <v>254</v>
      </c>
      <c r="S55" s="13">
        <v>535</v>
      </c>
      <c r="T55" s="13">
        <v>132</v>
      </c>
      <c r="U55" s="13">
        <v>175</v>
      </c>
      <c r="V55" s="13">
        <v>65</v>
      </c>
      <c r="W55" s="13">
        <v>703</v>
      </c>
      <c r="X55" s="13">
        <v>365</v>
      </c>
      <c r="Y55" s="13">
        <v>101</v>
      </c>
      <c r="Z55" s="13">
        <v>427</v>
      </c>
      <c r="AA55" s="13">
        <v>190</v>
      </c>
      <c r="AB55" s="13">
        <v>1332</v>
      </c>
      <c r="AC55" s="13">
        <v>243</v>
      </c>
      <c r="AD55" s="13">
        <v>87</v>
      </c>
      <c r="AE55" s="13">
        <v>597</v>
      </c>
      <c r="AF55" s="13">
        <v>1</v>
      </c>
      <c r="AG55" s="13">
        <v>1</v>
      </c>
      <c r="AH55" s="13">
        <v>1178</v>
      </c>
      <c r="AI55" s="13">
        <v>1620</v>
      </c>
      <c r="AJ55" s="13">
        <v>108</v>
      </c>
      <c r="AK55" s="13">
        <v>1870</v>
      </c>
      <c r="AL55" s="13">
        <v>1250</v>
      </c>
      <c r="AM55" s="13">
        <v>797</v>
      </c>
      <c r="AN55" s="13">
        <v>132</v>
      </c>
      <c r="AO55" s="13">
        <v>363</v>
      </c>
      <c r="AP55" s="13">
        <v>1533</v>
      </c>
      <c r="AQ55" s="13">
        <v>91</v>
      </c>
      <c r="AR55" s="13">
        <v>443</v>
      </c>
      <c r="AS55" s="13">
        <v>9</v>
      </c>
      <c r="AT55" s="13">
        <v>141</v>
      </c>
      <c r="AU55" s="13">
        <v>177</v>
      </c>
      <c r="AV55" s="13">
        <v>539</v>
      </c>
      <c r="AW55" s="13">
        <v>237</v>
      </c>
      <c r="AX55" s="13">
        <v>89</v>
      </c>
      <c r="AY55" s="13">
        <v>605</v>
      </c>
      <c r="AZ55" s="13">
        <v>61</v>
      </c>
      <c r="BA55" s="13">
        <v>356</v>
      </c>
      <c r="BB55" s="13">
        <v>77</v>
      </c>
      <c r="BC55" s="13">
        <v>131</v>
      </c>
      <c r="BD55" s="13">
        <v>2</v>
      </c>
      <c r="BE55" s="13">
        <v>8</v>
      </c>
      <c r="BF55" s="13">
        <v>923</v>
      </c>
      <c r="BG55" s="13">
        <v>180</v>
      </c>
      <c r="BH55" s="13">
        <v>1156</v>
      </c>
      <c r="BI55" s="13">
        <v>486</v>
      </c>
      <c r="BJ55" s="13">
        <v>27</v>
      </c>
      <c r="BK55" s="13">
        <v>1945</v>
      </c>
      <c r="BL55" s="13">
        <v>627</v>
      </c>
      <c r="BM55" s="13">
        <v>13</v>
      </c>
      <c r="BN55" s="13">
        <v>654</v>
      </c>
      <c r="BO55" s="13">
        <v>971</v>
      </c>
      <c r="BP55" s="13">
        <v>299</v>
      </c>
      <c r="BQ55" s="13">
        <v>175</v>
      </c>
      <c r="BR55" s="13">
        <v>754</v>
      </c>
      <c r="BS55" s="13">
        <v>1019</v>
      </c>
      <c r="BT55" s="13">
        <v>594</v>
      </c>
      <c r="BU55" s="13">
        <v>1887</v>
      </c>
      <c r="BV55" s="13">
        <v>208</v>
      </c>
      <c r="BW55" s="13">
        <v>293</v>
      </c>
      <c r="BX55" s="13">
        <v>246</v>
      </c>
      <c r="BY55" s="13">
        <v>692</v>
      </c>
      <c r="BZ55" s="13">
        <v>875</v>
      </c>
      <c r="CA55" s="13">
        <v>2676</v>
      </c>
      <c r="CB55" s="13">
        <v>451</v>
      </c>
      <c r="CC55" s="13">
        <v>2232</v>
      </c>
      <c r="CD55" s="13">
        <v>1556</v>
      </c>
      <c r="CE55" s="13">
        <v>294</v>
      </c>
      <c r="CF55" s="13">
        <v>742</v>
      </c>
      <c r="CG55" s="13">
        <v>323</v>
      </c>
      <c r="CH55" s="13">
        <v>253</v>
      </c>
      <c r="CI55" s="13">
        <v>933</v>
      </c>
      <c r="CJ55" s="13">
        <v>303</v>
      </c>
      <c r="CK55" s="13">
        <v>398</v>
      </c>
      <c r="CL55" s="13">
        <v>63</v>
      </c>
      <c r="CM55" s="13">
        <v>110</v>
      </c>
      <c r="CN55" s="13">
        <v>52</v>
      </c>
      <c r="CO55" s="13">
        <v>135</v>
      </c>
      <c r="CP55" s="13">
        <v>109</v>
      </c>
      <c r="CQ55" s="13">
        <v>2175</v>
      </c>
      <c r="CR55" s="13">
        <v>1812</v>
      </c>
      <c r="CS55" s="13">
        <v>771</v>
      </c>
      <c r="CT55" s="13">
        <v>1823</v>
      </c>
      <c r="CU55" s="13">
        <v>2138</v>
      </c>
      <c r="CV55" s="14">
        <v>56166</v>
      </c>
      <c r="CW55" s="13">
        <v>196</v>
      </c>
      <c r="CX55" s="13">
        <v>137</v>
      </c>
      <c r="CY55" s="13">
        <v>63</v>
      </c>
      <c r="CZ55" s="13">
        <v>832</v>
      </c>
      <c r="DA55" s="13">
        <v>10</v>
      </c>
      <c r="DB55" s="14">
        <v>1238</v>
      </c>
      <c r="DC55" s="14">
        <v>57404</v>
      </c>
      <c r="DD55" s="13">
        <v>0</v>
      </c>
      <c r="DE55" s="13">
        <v>0</v>
      </c>
      <c r="DF55" s="13">
        <v>0</v>
      </c>
      <c r="DG55" s="13">
        <v>0</v>
      </c>
      <c r="DH55" s="13">
        <v>0</v>
      </c>
      <c r="DI55" s="13">
        <v>132</v>
      </c>
      <c r="DJ55" s="14">
        <v>132</v>
      </c>
      <c r="DK55" s="13">
        <v>1</v>
      </c>
      <c r="DL55" s="13">
        <v>16</v>
      </c>
      <c r="DM55" s="13">
        <v>0</v>
      </c>
      <c r="DN55" s="14">
        <v>57553</v>
      </c>
    </row>
    <row r="56" spans="1:118" x14ac:dyDescent="0.2">
      <c r="A56" s="10"/>
      <c r="B56" s="11" t="s">
        <v>427</v>
      </c>
      <c r="C56" s="12" t="s">
        <v>428</v>
      </c>
      <c r="D56" s="13">
        <v>793</v>
      </c>
      <c r="E56" s="13">
        <v>283</v>
      </c>
      <c r="F56" s="13">
        <v>300</v>
      </c>
      <c r="G56" s="13">
        <v>319</v>
      </c>
      <c r="H56" s="13">
        <v>324</v>
      </c>
      <c r="I56" s="13">
        <v>1534</v>
      </c>
      <c r="J56" s="13">
        <v>635</v>
      </c>
      <c r="K56" s="13">
        <v>132</v>
      </c>
      <c r="L56" s="13">
        <v>84</v>
      </c>
      <c r="M56" s="13">
        <v>104</v>
      </c>
      <c r="N56" s="13">
        <v>221</v>
      </c>
      <c r="O56" s="13">
        <v>816</v>
      </c>
      <c r="P56" s="13">
        <v>1242</v>
      </c>
      <c r="Q56" s="13">
        <v>956</v>
      </c>
      <c r="R56" s="13">
        <v>168</v>
      </c>
      <c r="S56" s="13">
        <v>243</v>
      </c>
      <c r="T56" s="13">
        <v>741</v>
      </c>
      <c r="U56" s="13">
        <v>222</v>
      </c>
      <c r="V56" s="13">
        <v>105</v>
      </c>
      <c r="W56" s="13">
        <v>515</v>
      </c>
      <c r="X56" s="13">
        <v>277</v>
      </c>
      <c r="Y56" s="13">
        <v>59</v>
      </c>
      <c r="Z56" s="13">
        <v>299</v>
      </c>
      <c r="AA56" s="13">
        <v>777</v>
      </c>
      <c r="AB56" s="13">
        <v>623</v>
      </c>
      <c r="AC56" s="13">
        <v>732</v>
      </c>
      <c r="AD56" s="13">
        <v>277</v>
      </c>
      <c r="AE56" s="13">
        <v>268</v>
      </c>
      <c r="AF56" s="13">
        <v>551</v>
      </c>
      <c r="AG56" s="13">
        <v>501</v>
      </c>
      <c r="AH56" s="13">
        <v>1077</v>
      </c>
      <c r="AI56" s="13">
        <v>786</v>
      </c>
      <c r="AJ56" s="13">
        <v>274</v>
      </c>
      <c r="AK56" s="13">
        <v>727</v>
      </c>
      <c r="AL56" s="13">
        <v>979</v>
      </c>
      <c r="AM56" s="13">
        <v>582</v>
      </c>
      <c r="AN56" s="13">
        <v>203</v>
      </c>
      <c r="AO56" s="13">
        <v>490</v>
      </c>
      <c r="AP56" s="13">
        <v>1028</v>
      </c>
      <c r="AQ56" s="13">
        <v>285</v>
      </c>
      <c r="AR56" s="13">
        <v>201</v>
      </c>
      <c r="AS56" s="13">
        <v>359</v>
      </c>
      <c r="AT56" s="13">
        <v>1205</v>
      </c>
      <c r="AU56" s="13">
        <v>420</v>
      </c>
      <c r="AV56" s="13">
        <v>855</v>
      </c>
      <c r="AW56" s="13">
        <v>385</v>
      </c>
      <c r="AX56" s="13">
        <v>232</v>
      </c>
      <c r="AY56" s="13">
        <v>210</v>
      </c>
      <c r="AZ56" s="13">
        <v>183</v>
      </c>
      <c r="BA56" s="13">
        <v>423</v>
      </c>
      <c r="BB56" s="13">
        <v>602</v>
      </c>
      <c r="BC56" s="13">
        <v>216</v>
      </c>
      <c r="BD56" s="13">
        <v>119</v>
      </c>
      <c r="BE56" s="13">
        <v>400</v>
      </c>
      <c r="BF56" s="13">
        <v>433</v>
      </c>
      <c r="BG56" s="13">
        <v>84</v>
      </c>
      <c r="BH56" s="13">
        <v>384</v>
      </c>
      <c r="BI56" s="13">
        <v>329</v>
      </c>
      <c r="BJ56" s="13">
        <v>314</v>
      </c>
      <c r="BK56" s="13">
        <v>942</v>
      </c>
      <c r="BL56" s="13">
        <v>282</v>
      </c>
      <c r="BM56" s="13">
        <v>255</v>
      </c>
      <c r="BN56" s="13">
        <v>1102</v>
      </c>
      <c r="BO56" s="13">
        <v>689</v>
      </c>
      <c r="BP56" s="13">
        <v>843</v>
      </c>
      <c r="BQ56" s="13">
        <v>128</v>
      </c>
      <c r="BR56" s="13">
        <v>312</v>
      </c>
      <c r="BS56" s="13">
        <v>394</v>
      </c>
      <c r="BT56" s="13">
        <v>570</v>
      </c>
      <c r="BU56" s="13">
        <v>999</v>
      </c>
      <c r="BV56" s="13">
        <v>506</v>
      </c>
      <c r="BW56" s="13">
        <v>762</v>
      </c>
      <c r="BX56" s="13">
        <v>1061</v>
      </c>
      <c r="BY56" s="13">
        <v>486</v>
      </c>
      <c r="BZ56" s="13">
        <v>1132</v>
      </c>
      <c r="CA56" s="13">
        <v>588</v>
      </c>
      <c r="CB56" s="13">
        <v>946</v>
      </c>
      <c r="CC56" s="13">
        <v>486</v>
      </c>
      <c r="CD56" s="13">
        <v>584</v>
      </c>
      <c r="CE56" s="13">
        <v>237</v>
      </c>
      <c r="CF56" s="13">
        <v>296</v>
      </c>
      <c r="CG56" s="13">
        <v>648</v>
      </c>
      <c r="CH56" s="13">
        <v>188</v>
      </c>
      <c r="CI56" s="13">
        <v>1426</v>
      </c>
      <c r="CJ56" s="13">
        <v>667</v>
      </c>
      <c r="CK56" s="13">
        <v>516</v>
      </c>
      <c r="CL56" s="13">
        <v>248</v>
      </c>
      <c r="CM56" s="13">
        <v>372</v>
      </c>
      <c r="CN56" s="13">
        <v>588</v>
      </c>
      <c r="CO56" s="13">
        <v>367</v>
      </c>
      <c r="CP56" s="13">
        <v>125</v>
      </c>
      <c r="CQ56" s="13">
        <v>592</v>
      </c>
      <c r="CR56" s="13">
        <v>426</v>
      </c>
      <c r="CS56" s="13">
        <v>99</v>
      </c>
      <c r="CT56" s="13">
        <v>193</v>
      </c>
      <c r="CU56" s="13">
        <v>194</v>
      </c>
      <c r="CV56" s="14">
        <v>48135</v>
      </c>
      <c r="CW56" s="13">
        <v>414</v>
      </c>
      <c r="CX56" s="13">
        <v>179</v>
      </c>
      <c r="CY56" s="13">
        <v>89</v>
      </c>
      <c r="CZ56" s="13">
        <v>1059</v>
      </c>
      <c r="DA56" s="13">
        <v>0</v>
      </c>
      <c r="DB56" s="14">
        <v>1741</v>
      </c>
      <c r="DC56" s="14">
        <v>49876</v>
      </c>
      <c r="DD56" s="13">
        <v>0</v>
      </c>
      <c r="DE56" s="13">
        <v>2</v>
      </c>
      <c r="DF56" s="13">
        <v>1</v>
      </c>
      <c r="DG56" s="13">
        <v>0</v>
      </c>
      <c r="DH56" s="13">
        <v>58</v>
      </c>
      <c r="DI56" s="13">
        <v>304</v>
      </c>
      <c r="DJ56" s="14">
        <v>365</v>
      </c>
      <c r="DK56" s="13">
        <v>51</v>
      </c>
      <c r="DL56" s="13">
        <v>22</v>
      </c>
      <c r="DM56" s="13">
        <v>0</v>
      </c>
      <c r="DN56" s="14">
        <v>50314</v>
      </c>
    </row>
    <row r="57" spans="1:118" x14ac:dyDescent="0.2">
      <c r="A57" s="10"/>
      <c r="B57" s="11" t="s">
        <v>429</v>
      </c>
      <c r="C57" s="12" t="s">
        <v>430</v>
      </c>
      <c r="D57" s="13">
        <v>4023</v>
      </c>
      <c r="E57" s="13">
        <v>233</v>
      </c>
      <c r="F57" s="13">
        <v>502</v>
      </c>
      <c r="G57" s="13">
        <v>168</v>
      </c>
      <c r="H57" s="13">
        <v>626</v>
      </c>
      <c r="I57" s="13">
        <v>435</v>
      </c>
      <c r="J57" s="13">
        <v>2224</v>
      </c>
      <c r="K57" s="13">
        <v>2</v>
      </c>
      <c r="L57" s="13">
        <v>148</v>
      </c>
      <c r="M57" s="13">
        <v>26</v>
      </c>
      <c r="N57" s="13">
        <v>361</v>
      </c>
      <c r="O57" s="13">
        <v>160</v>
      </c>
      <c r="P57" s="13">
        <v>254</v>
      </c>
      <c r="Q57" s="13">
        <v>195</v>
      </c>
      <c r="R57" s="13">
        <v>90</v>
      </c>
      <c r="S57" s="13">
        <v>94</v>
      </c>
      <c r="T57" s="13">
        <v>179</v>
      </c>
      <c r="U57" s="13">
        <v>177</v>
      </c>
      <c r="V57" s="13">
        <v>171</v>
      </c>
      <c r="W57" s="13">
        <v>204</v>
      </c>
      <c r="X57" s="13">
        <v>295</v>
      </c>
      <c r="Y57" s="13">
        <v>14</v>
      </c>
      <c r="Z57" s="13">
        <v>71</v>
      </c>
      <c r="AA57" s="13">
        <v>161</v>
      </c>
      <c r="AB57" s="13">
        <v>2043</v>
      </c>
      <c r="AC57" s="13">
        <v>151</v>
      </c>
      <c r="AD57" s="13">
        <v>92</v>
      </c>
      <c r="AE57" s="13">
        <v>0</v>
      </c>
      <c r="AF57" s="13">
        <v>2</v>
      </c>
      <c r="AG57" s="13">
        <v>1</v>
      </c>
      <c r="AH57" s="13">
        <v>416</v>
      </c>
      <c r="AI57" s="13">
        <v>741</v>
      </c>
      <c r="AJ57" s="13">
        <v>157</v>
      </c>
      <c r="AK57" s="13">
        <v>86</v>
      </c>
      <c r="AL57" s="13">
        <v>823</v>
      </c>
      <c r="AM57" s="13">
        <v>9</v>
      </c>
      <c r="AN57" s="13">
        <v>120</v>
      </c>
      <c r="AO57" s="13">
        <v>104</v>
      </c>
      <c r="AP57" s="13">
        <v>4847</v>
      </c>
      <c r="AQ57" s="13">
        <v>501</v>
      </c>
      <c r="AR57" s="13">
        <v>111</v>
      </c>
      <c r="AS57" s="13">
        <v>41</v>
      </c>
      <c r="AT57" s="13">
        <v>2652</v>
      </c>
      <c r="AU57" s="13">
        <v>721</v>
      </c>
      <c r="AV57" s="13">
        <v>221</v>
      </c>
      <c r="AW57" s="13">
        <v>126</v>
      </c>
      <c r="AX57" s="13">
        <v>239</v>
      </c>
      <c r="AY57" s="13">
        <v>111</v>
      </c>
      <c r="AZ57" s="13">
        <v>79</v>
      </c>
      <c r="BA57" s="13">
        <v>20</v>
      </c>
      <c r="BB57" s="13">
        <v>19</v>
      </c>
      <c r="BC57" s="13">
        <v>40</v>
      </c>
      <c r="BD57" s="13">
        <v>13</v>
      </c>
      <c r="BE57" s="13">
        <v>7</v>
      </c>
      <c r="BF57" s="13">
        <v>171</v>
      </c>
      <c r="BG57" s="13">
        <v>9</v>
      </c>
      <c r="BH57" s="13">
        <v>13</v>
      </c>
      <c r="BI57" s="13">
        <v>107</v>
      </c>
      <c r="BJ57" s="13">
        <v>159</v>
      </c>
      <c r="BK57" s="13">
        <v>111</v>
      </c>
      <c r="BL57" s="13">
        <v>133</v>
      </c>
      <c r="BM57" s="13">
        <v>53</v>
      </c>
      <c r="BN57" s="13">
        <v>131</v>
      </c>
      <c r="BO57" s="13">
        <v>516</v>
      </c>
      <c r="BP57" s="13">
        <v>132</v>
      </c>
      <c r="BQ57" s="13">
        <v>96</v>
      </c>
      <c r="BR57" s="13">
        <v>419</v>
      </c>
      <c r="BS57" s="13">
        <v>23</v>
      </c>
      <c r="BT57" s="13">
        <v>63</v>
      </c>
      <c r="BU57" s="13">
        <v>5524</v>
      </c>
      <c r="BV57" s="13">
        <v>88</v>
      </c>
      <c r="BW57" s="13">
        <v>1496</v>
      </c>
      <c r="BX57" s="13">
        <v>218</v>
      </c>
      <c r="BY57" s="13">
        <v>1119</v>
      </c>
      <c r="BZ57" s="13">
        <v>747</v>
      </c>
      <c r="CA57" s="13">
        <v>60</v>
      </c>
      <c r="CB57" s="13">
        <v>71</v>
      </c>
      <c r="CC57" s="13">
        <v>243</v>
      </c>
      <c r="CD57" s="13">
        <v>171</v>
      </c>
      <c r="CE57" s="13">
        <v>54</v>
      </c>
      <c r="CF57" s="13">
        <v>122</v>
      </c>
      <c r="CG57" s="13">
        <v>335</v>
      </c>
      <c r="CH57" s="13">
        <v>210</v>
      </c>
      <c r="CI57" s="13">
        <v>273</v>
      </c>
      <c r="CJ57" s="13">
        <v>325</v>
      </c>
      <c r="CK57" s="13">
        <v>92</v>
      </c>
      <c r="CL57" s="13">
        <v>177</v>
      </c>
      <c r="CM57" s="13">
        <v>114</v>
      </c>
      <c r="CN57" s="13">
        <v>91</v>
      </c>
      <c r="CO57" s="13">
        <v>134</v>
      </c>
      <c r="CP57" s="13">
        <v>111</v>
      </c>
      <c r="CQ57" s="13">
        <v>119</v>
      </c>
      <c r="CR57" s="13">
        <v>133</v>
      </c>
      <c r="CS57" s="13">
        <v>67</v>
      </c>
      <c r="CT57" s="13">
        <v>100</v>
      </c>
      <c r="CU57" s="13">
        <v>129</v>
      </c>
      <c r="CV57" s="14">
        <v>39765</v>
      </c>
      <c r="CW57" s="13">
        <v>1</v>
      </c>
      <c r="CX57" s="13">
        <v>0</v>
      </c>
      <c r="CY57" s="13">
        <v>0</v>
      </c>
      <c r="CZ57" s="13">
        <v>20</v>
      </c>
      <c r="DA57" s="13">
        <v>0</v>
      </c>
      <c r="DB57" s="14">
        <v>21</v>
      </c>
      <c r="DC57" s="14">
        <v>39786</v>
      </c>
      <c r="DD57" s="13">
        <v>0</v>
      </c>
      <c r="DE57" s="13">
        <v>0</v>
      </c>
      <c r="DF57" s="13">
        <v>0</v>
      </c>
      <c r="DG57" s="13">
        <v>0</v>
      </c>
      <c r="DH57" s="13">
        <v>2</v>
      </c>
      <c r="DI57" s="13">
        <v>0</v>
      </c>
      <c r="DJ57" s="14">
        <v>2</v>
      </c>
      <c r="DK57" s="13">
        <v>4</v>
      </c>
      <c r="DL57" s="13">
        <v>0</v>
      </c>
      <c r="DM57" s="13">
        <v>0</v>
      </c>
      <c r="DN57" s="14">
        <v>39792</v>
      </c>
    </row>
    <row r="58" spans="1:118" x14ac:dyDescent="0.2">
      <c r="A58" s="10"/>
      <c r="B58" s="11" t="s">
        <v>431</v>
      </c>
      <c r="C58" s="12" t="s">
        <v>432</v>
      </c>
      <c r="D58" s="13">
        <v>334</v>
      </c>
      <c r="E58" s="13">
        <v>242</v>
      </c>
      <c r="F58" s="13">
        <v>175</v>
      </c>
      <c r="G58" s="13">
        <v>84</v>
      </c>
      <c r="H58" s="13">
        <v>102</v>
      </c>
      <c r="I58" s="13">
        <v>607</v>
      </c>
      <c r="J58" s="13">
        <v>144</v>
      </c>
      <c r="K58" s="13">
        <v>94</v>
      </c>
      <c r="L58" s="13">
        <v>65</v>
      </c>
      <c r="M58" s="13">
        <v>174</v>
      </c>
      <c r="N58" s="13">
        <v>145</v>
      </c>
      <c r="O58" s="13">
        <v>85</v>
      </c>
      <c r="P58" s="13">
        <v>1215</v>
      </c>
      <c r="Q58" s="13">
        <v>318</v>
      </c>
      <c r="R58" s="13">
        <v>80</v>
      </c>
      <c r="S58" s="13">
        <v>231</v>
      </c>
      <c r="T58" s="13">
        <v>529</v>
      </c>
      <c r="U58" s="13">
        <v>153</v>
      </c>
      <c r="V58" s="13">
        <v>85</v>
      </c>
      <c r="W58" s="13">
        <v>475</v>
      </c>
      <c r="X58" s="13">
        <v>248</v>
      </c>
      <c r="Y58" s="13">
        <v>28</v>
      </c>
      <c r="Z58" s="13">
        <v>249</v>
      </c>
      <c r="AA58" s="13">
        <v>222</v>
      </c>
      <c r="AB58" s="13">
        <v>277</v>
      </c>
      <c r="AC58" s="13">
        <v>273</v>
      </c>
      <c r="AD58" s="13">
        <v>194</v>
      </c>
      <c r="AE58" s="13">
        <v>539</v>
      </c>
      <c r="AF58" s="13">
        <v>199</v>
      </c>
      <c r="AG58" s="13">
        <v>161</v>
      </c>
      <c r="AH58" s="13">
        <v>399</v>
      </c>
      <c r="AI58" s="13">
        <v>1827</v>
      </c>
      <c r="AJ58" s="13">
        <v>98</v>
      </c>
      <c r="AK58" s="13">
        <v>1466</v>
      </c>
      <c r="AL58" s="13">
        <v>784</v>
      </c>
      <c r="AM58" s="13">
        <v>491</v>
      </c>
      <c r="AN58" s="13">
        <v>114</v>
      </c>
      <c r="AO58" s="13">
        <v>314</v>
      </c>
      <c r="AP58" s="13">
        <v>677</v>
      </c>
      <c r="AQ58" s="13">
        <v>108</v>
      </c>
      <c r="AR58" s="13">
        <v>303</v>
      </c>
      <c r="AS58" s="13">
        <v>122</v>
      </c>
      <c r="AT58" s="13">
        <v>411</v>
      </c>
      <c r="AU58" s="13">
        <v>58</v>
      </c>
      <c r="AV58" s="13">
        <v>623</v>
      </c>
      <c r="AW58" s="13">
        <v>381</v>
      </c>
      <c r="AX58" s="13">
        <v>85</v>
      </c>
      <c r="AY58" s="13">
        <v>168</v>
      </c>
      <c r="AZ58" s="13">
        <v>16</v>
      </c>
      <c r="BA58" s="13">
        <v>291</v>
      </c>
      <c r="BB58" s="13">
        <v>279</v>
      </c>
      <c r="BC58" s="13">
        <v>405</v>
      </c>
      <c r="BD58" s="13">
        <v>90</v>
      </c>
      <c r="BE58" s="13">
        <v>72</v>
      </c>
      <c r="BF58" s="13">
        <v>245</v>
      </c>
      <c r="BG58" s="13">
        <v>71</v>
      </c>
      <c r="BH58" s="13">
        <v>468</v>
      </c>
      <c r="BI58" s="13">
        <v>345</v>
      </c>
      <c r="BJ58" s="13">
        <v>101</v>
      </c>
      <c r="BK58" s="13">
        <v>733</v>
      </c>
      <c r="BL58" s="13">
        <v>658</v>
      </c>
      <c r="BM58" s="13">
        <v>132</v>
      </c>
      <c r="BN58" s="13">
        <v>426</v>
      </c>
      <c r="BO58" s="13">
        <v>301</v>
      </c>
      <c r="BP58" s="13">
        <v>463</v>
      </c>
      <c r="BQ58" s="13">
        <v>137</v>
      </c>
      <c r="BR58" s="13">
        <v>165</v>
      </c>
      <c r="BS58" s="13">
        <v>424</v>
      </c>
      <c r="BT58" s="13">
        <v>471</v>
      </c>
      <c r="BU58" s="13">
        <v>1026</v>
      </c>
      <c r="BV58" s="13">
        <v>94</v>
      </c>
      <c r="BW58" s="13">
        <v>244</v>
      </c>
      <c r="BX58" s="13">
        <v>176</v>
      </c>
      <c r="BY58" s="13">
        <v>318</v>
      </c>
      <c r="BZ58" s="13">
        <v>450</v>
      </c>
      <c r="CA58" s="13">
        <v>1537</v>
      </c>
      <c r="CB58" s="13">
        <v>370</v>
      </c>
      <c r="CC58" s="13">
        <v>950</v>
      </c>
      <c r="CD58" s="13">
        <v>1327</v>
      </c>
      <c r="CE58" s="13">
        <v>126</v>
      </c>
      <c r="CF58" s="13">
        <v>165</v>
      </c>
      <c r="CG58" s="13">
        <v>212</v>
      </c>
      <c r="CH58" s="13">
        <v>133</v>
      </c>
      <c r="CI58" s="13">
        <v>557</v>
      </c>
      <c r="CJ58" s="13">
        <v>346</v>
      </c>
      <c r="CK58" s="13">
        <v>294</v>
      </c>
      <c r="CL58" s="13">
        <v>313</v>
      </c>
      <c r="CM58" s="13">
        <v>195</v>
      </c>
      <c r="CN58" s="13">
        <v>117</v>
      </c>
      <c r="CO58" s="13">
        <v>148</v>
      </c>
      <c r="CP58" s="13">
        <v>68</v>
      </c>
      <c r="CQ58" s="13">
        <v>846</v>
      </c>
      <c r="CR58" s="13">
        <v>1389</v>
      </c>
      <c r="CS58" s="13">
        <v>371</v>
      </c>
      <c r="CT58" s="13">
        <v>657</v>
      </c>
      <c r="CU58" s="13">
        <v>680</v>
      </c>
      <c r="CV58" s="14">
        <v>35558</v>
      </c>
      <c r="CW58" s="13">
        <v>215</v>
      </c>
      <c r="CX58" s="13">
        <v>149</v>
      </c>
      <c r="CY58" s="13">
        <v>45</v>
      </c>
      <c r="CZ58" s="13">
        <v>173</v>
      </c>
      <c r="DA58" s="13">
        <v>9</v>
      </c>
      <c r="DB58" s="14">
        <v>591</v>
      </c>
      <c r="DC58" s="14">
        <v>36149</v>
      </c>
      <c r="DD58" s="13">
        <v>1</v>
      </c>
      <c r="DE58" s="13">
        <v>14</v>
      </c>
      <c r="DF58" s="13">
        <v>6</v>
      </c>
      <c r="DG58" s="13">
        <v>0</v>
      </c>
      <c r="DH58" s="13">
        <v>97</v>
      </c>
      <c r="DI58" s="13">
        <v>114</v>
      </c>
      <c r="DJ58" s="14">
        <v>232</v>
      </c>
      <c r="DK58" s="13">
        <v>19</v>
      </c>
      <c r="DL58" s="13">
        <v>815</v>
      </c>
      <c r="DM58" s="13">
        <v>0</v>
      </c>
      <c r="DN58" s="14">
        <v>37215</v>
      </c>
    </row>
    <row r="59" spans="1:118" x14ac:dyDescent="0.2">
      <c r="A59" s="10"/>
      <c r="B59" s="11" t="s">
        <v>433</v>
      </c>
      <c r="C59" s="12" t="s">
        <v>434</v>
      </c>
      <c r="D59" s="13">
        <v>564</v>
      </c>
      <c r="E59" s="13">
        <v>49</v>
      </c>
      <c r="F59" s="13">
        <v>64</v>
      </c>
      <c r="G59" s="13">
        <v>376</v>
      </c>
      <c r="H59" s="13">
        <v>727</v>
      </c>
      <c r="I59" s="13">
        <v>738</v>
      </c>
      <c r="J59" s="13">
        <v>192</v>
      </c>
      <c r="K59" s="13">
        <v>59</v>
      </c>
      <c r="L59" s="13">
        <v>202</v>
      </c>
      <c r="M59" s="13">
        <v>61</v>
      </c>
      <c r="N59" s="13">
        <v>204</v>
      </c>
      <c r="O59" s="13">
        <v>299</v>
      </c>
      <c r="P59" s="13">
        <v>1151</v>
      </c>
      <c r="Q59" s="13">
        <v>321</v>
      </c>
      <c r="R59" s="13">
        <v>79</v>
      </c>
      <c r="S59" s="13">
        <v>80</v>
      </c>
      <c r="T59" s="13">
        <v>167</v>
      </c>
      <c r="U59" s="13">
        <v>46</v>
      </c>
      <c r="V59" s="13">
        <v>132</v>
      </c>
      <c r="W59" s="13">
        <v>154</v>
      </c>
      <c r="X59" s="13">
        <v>256</v>
      </c>
      <c r="Y59" s="13">
        <v>19</v>
      </c>
      <c r="Z59" s="13">
        <v>98</v>
      </c>
      <c r="AA59" s="13">
        <v>331</v>
      </c>
      <c r="AB59" s="13">
        <v>432</v>
      </c>
      <c r="AC59" s="13">
        <v>135</v>
      </c>
      <c r="AD59" s="13">
        <v>47</v>
      </c>
      <c r="AE59" s="13">
        <v>346</v>
      </c>
      <c r="AF59" s="13">
        <v>79</v>
      </c>
      <c r="AG59" s="13">
        <v>88</v>
      </c>
      <c r="AH59" s="13">
        <v>306</v>
      </c>
      <c r="AI59" s="13">
        <v>902</v>
      </c>
      <c r="AJ59" s="13">
        <v>59</v>
      </c>
      <c r="AK59" s="13">
        <v>713</v>
      </c>
      <c r="AL59" s="13">
        <v>731</v>
      </c>
      <c r="AM59" s="13">
        <v>386</v>
      </c>
      <c r="AN59" s="13">
        <v>21</v>
      </c>
      <c r="AO59" s="13">
        <v>90</v>
      </c>
      <c r="AP59" s="13">
        <v>2442</v>
      </c>
      <c r="AQ59" s="13">
        <v>181</v>
      </c>
      <c r="AR59" s="13">
        <v>169</v>
      </c>
      <c r="AS59" s="13">
        <v>48</v>
      </c>
      <c r="AT59" s="13">
        <v>305</v>
      </c>
      <c r="AU59" s="13">
        <v>150</v>
      </c>
      <c r="AV59" s="13">
        <v>343</v>
      </c>
      <c r="AW59" s="13">
        <v>96</v>
      </c>
      <c r="AX59" s="13">
        <v>146</v>
      </c>
      <c r="AY59" s="13">
        <v>74</v>
      </c>
      <c r="AZ59" s="13">
        <v>51</v>
      </c>
      <c r="BA59" s="13">
        <v>137</v>
      </c>
      <c r="BB59" s="13">
        <v>119</v>
      </c>
      <c r="BC59" s="13">
        <v>94</v>
      </c>
      <c r="BD59" s="13">
        <v>32</v>
      </c>
      <c r="BE59" s="13">
        <v>106</v>
      </c>
      <c r="BF59" s="13">
        <v>232</v>
      </c>
      <c r="BG59" s="13">
        <v>52</v>
      </c>
      <c r="BH59" s="13">
        <v>334</v>
      </c>
      <c r="BI59" s="13">
        <v>212</v>
      </c>
      <c r="BJ59" s="13">
        <v>48</v>
      </c>
      <c r="BK59" s="13">
        <v>534</v>
      </c>
      <c r="BL59" s="13">
        <v>79</v>
      </c>
      <c r="BM59" s="13">
        <v>41</v>
      </c>
      <c r="BN59" s="13">
        <v>192</v>
      </c>
      <c r="BO59" s="13">
        <v>479</v>
      </c>
      <c r="BP59" s="13">
        <v>561</v>
      </c>
      <c r="BQ59" s="13">
        <v>351</v>
      </c>
      <c r="BR59" s="13">
        <v>281</v>
      </c>
      <c r="BS59" s="13">
        <v>529</v>
      </c>
      <c r="BT59" s="13">
        <v>537</v>
      </c>
      <c r="BU59" s="13">
        <v>1119</v>
      </c>
      <c r="BV59" s="13">
        <v>73</v>
      </c>
      <c r="BW59" s="13">
        <v>143</v>
      </c>
      <c r="BX59" s="13">
        <v>40</v>
      </c>
      <c r="BY59" s="13">
        <v>1678</v>
      </c>
      <c r="BZ59" s="13">
        <v>3343</v>
      </c>
      <c r="CA59" s="13">
        <v>753</v>
      </c>
      <c r="CB59" s="13">
        <v>275</v>
      </c>
      <c r="CC59" s="13">
        <v>219</v>
      </c>
      <c r="CD59" s="13">
        <v>398</v>
      </c>
      <c r="CE59" s="13">
        <v>83</v>
      </c>
      <c r="CF59" s="13">
        <v>123</v>
      </c>
      <c r="CG59" s="13">
        <v>203</v>
      </c>
      <c r="CH59" s="13">
        <v>87</v>
      </c>
      <c r="CI59" s="13">
        <v>646</v>
      </c>
      <c r="CJ59" s="13">
        <v>242</v>
      </c>
      <c r="CK59" s="13">
        <v>174</v>
      </c>
      <c r="CL59" s="13">
        <v>115</v>
      </c>
      <c r="CM59" s="13">
        <v>84</v>
      </c>
      <c r="CN59" s="13">
        <v>330</v>
      </c>
      <c r="CO59" s="13">
        <v>41</v>
      </c>
      <c r="CP59" s="13">
        <v>41</v>
      </c>
      <c r="CQ59" s="13">
        <v>306</v>
      </c>
      <c r="CR59" s="13">
        <v>452</v>
      </c>
      <c r="CS59" s="13">
        <v>138</v>
      </c>
      <c r="CT59" s="13">
        <v>244</v>
      </c>
      <c r="CU59" s="13">
        <v>139</v>
      </c>
      <c r="CV59" s="14">
        <v>31148</v>
      </c>
      <c r="CW59" s="13">
        <v>66</v>
      </c>
      <c r="CX59" s="13">
        <v>31</v>
      </c>
      <c r="CY59" s="13">
        <v>67</v>
      </c>
      <c r="CZ59" s="13">
        <v>591</v>
      </c>
      <c r="DA59" s="13">
        <v>3</v>
      </c>
      <c r="DB59" s="14">
        <v>758</v>
      </c>
      <c r="DC59" s="14">
        <v>31906</v>
      </c>
      <c r="DD59" s="13">
        <v>0</v>
      </c>
      <c r="DE59" s="13">
        <v>4</v>
      </c>
      <c r="DF59" s="13">
        <v>8</v>
      </c>
      <c r="DG59" s="13">
        <v>42</v>
      </c>
      <c r="DH59" s="13">
        <v>121</v>
      </c>
      <c r="DI59" s="13">
        <v>104</v>
      </c>
      <c r="DJ59" s="14">
        <v>279</v>
      </c>
      <c r="DK59" s="13">
        <v>22</v>
      </c>
      <c r="DL59" s="13">
        <v>1321</v>
      </c>
      <c r="DM59" s="13">
        <v>0</v>
      </c>
      <c r="DN59" s="14">
        <v>33528</v>
      </c>
    </row>
    <row r="60" spans="1:118" x14ac:dyDescent="0.2">
      <c r="A60" s="10"/>
      <c r="B60" s="11" t="s">
        <v>435</v>
      </c>
      <c r="C60" s="12" t="s">
        <v>436</v>
      </c>
      <c r="D60" s="13">
        <v>425</v>
      </c>
      <c r="E60" s="13">
        <v>381</v>
      </c>
      <c r="F60" s="13">
        <v>165</v>
      </c>
      <c r="G60" s="13">
        <v>82</v>
      </c>
      <c r="H60" s="13">
        <v>82</v>
      </c>
      <c r="I60" s="13">
        <v>453</v>
      </c>
      <c r="J60" s="13">
        <v>357</v>
      </c>
      <c r="K60" s="13">
        <v>244</v>
      </c>
      <c r="L60" s="13">
        <v>109</v>
      </c>
      <c r="M60" s="13">
        <v>169</v>
      </c>
      <c r="N60" s="13">
        <v>281</v>
      </c>
      <c r="O60" s="13">
        <v>149</v>
      </c>
      <c r="P60" s="13">
        <v>965</v>
      </c>
      <c r="Q60" s="13">
        <v>475</v>
      </c>
      <c r="R60" s="13">
        <v>28</v>
      </c>
      <c r="S60" s="13">
        <v>305</v>
      </c>
      <c r="T60" s="13">
        <v>476</v>
      </c>
      <c r="U60" s="13">
        <v>220</v>
      </c>
      <c r="V60" s="13">
        <v>60</v>
      </c>
      <c r="W60" s="13">
        <v>267</v>
      </c>
      <c r="X60" s="13">
        <v>259</v>
      </c>
      <c r="Y60" s="13">
        <v>89</v>
      </c>
      <c r="Z60" s="13">
        <v>351</v>
      </c>
      <c r="AA60" s="13">
        <v>164</v>
      </c>
      <c r="AB60" s="13">
        <v>357</v>
      </c>
      <c r="AC60" s="13">
        <v>470</v>
      </c>
      <c r="AD60" s="13">
        <v>360</v>
      </c>
      <c r="AE60" s="13">
        <v>103</v>
      </c>
      <c r="AF60" s="13">
        <v>267</v>
      </c>
      <c r="AG60" s="13">
        <v>172</v>
      </c>
      <c r="AH60" s="13">
        <v>654</v>
      </c>
      <c r="AI60" s="13">
        <v>766</v>
      </c>
      <c r="AJ60" s="13">
        <v>198</v>
      </c>
      <c r="AK60" s="13">
        <v>1130</v>
      </c>
      <c r="AL60" s="13">
        <v>534</v>
      </c>
      <c r="AM60" s="13">
        <v>247</v>
      </c>
      <c r="AN60" s="13">
        <v>176</v>
      </c>
      <c r="AO60" s="13">
        <v>331</v>
      </c>
      <c r="AP60" s="13">
        <v>704</v>
      </c>
      <c r="AQ60" s="13">
        <v>176</v>
      </c>
      <c r="AR60" s="13">
        <v>422</v>
      </c>
      <c r="AS60" s="13">
        <v>267</v>
      </c>
      <c r="AT60" s="13">
        <v>299</v>
      </c>
      <c r="AU60" s="13">
        <v>44</v>
      </c>
      <c r="AV60" s="13">
        <v>131</v>
      </c>
      <c r="AW60" s="13">
        <v>525</v>
      </c>
      <c r="AX60" s="13">
        <v>61</v>
      </c>
      <c r="AY60" s="13">
        <v>212</v>
      </c>
      <c r="AZ60" s="13">
        <v>7</v>
      </c>
      <c r="BA60" s="13">
        <v>102</v>
      </c>
      <c r="BB60" s="13">
        <v>226</v>
      </c>
      <c r="BC60" s="13">
        <v>279</v>
      </c>
      <c r="BD60" s="13">
        <v>68</v>
      </c>
      <c r="BE60" s="13">
        <v>53</v>
      </c>
      <c r="BF60" s="13">
        <v>207</v>
      </c>
      <c r="BG60" s="13">
        <v>90</v>
      </c>
      <c r="BH60" s="13">
        <v>195</v>
      </c>
      <c r="BI60" s="13">
        <v>332</v>
      </c>
      <c r="BJ60" s="13">
        <v>71</v>
      </c>
      <c r="BK60" s="13">
        <v>1257</v>
      </c>
      <c r="BL60" s="13">
        <v>532</v>
      </c>
      <c r="BM60" s="13">
        <v>243</v>
      </c>
      <c r="BN60" s="13">
        <v>1267</v>
      </c>
      <c r="BO60" s="13">
        <v>269</v>
      </c>
      <c r="BP60" s="13">
        <v>414</v>
      </c>
      <c r="BQ60" s="13">
        <v>141</v>
      </c>
      <c r="BR60" s="13">
        <v>212</v>
      </c>
      <c r="BS60" s="13">
        <v>132</v>
      </c>
      <c r="BT60" s="13">
        <v>290</v>
      </c>
      <c r="BU60" s="13">
        <v>582</v>
      </c>
      <c r="BV60" s="13">
        <v>82</v>
      </c>
      <c r="BW60" s="13">
        <v>253</v>
      </c>
      <c r="BX60" s="13">
        <v>215</v>
      </c>
      <c r="BY60" s="13">
        <v>150</v>
      </c>
      <c r="BZ60" s="13">
        <v>341</v>
      </c>
      <c r="CA60" s="13">
        <v>162</v>
      </c>
      <c r="CB60" s="13">
        <v>517</v>
      </c>
      <c r="CC60" s="13">
        <v>494</v>
      </c>
      <c r="CD60" s="13">
        <v>527</v>
      </c>
      <c r="CE60" s="13">
        <v>168</v>
      </c>
      <c r="CF60" s="13">
        <v>623</v>
      </c>
      <c r="CG60" s="13">
        <v>254</v>
      </c>
      <c r="CH60" s="13">
        <v>232</v>
      </c>
      <c r="CI60" s="13">
        <v>780</v>
      </c>
      <c r="CJ60" s="13">
        <v>365</v>
      </c>
      <c r="CK60" s="13">
        <v>114</v>
      </c>
      <c r="CL60" s="13">
        <v>286</v>
      </c>
      <c r="CM60" s="13">
        <v>319</v>
      </c>
      <c r="CN60" s="13">
        <v>67</v>
      </c>
      <c r="CO60" s="13">
        <v>106</v>
      </c>
      <c r="CP60" s="13">
        <v>13</v>
      </c>
      <c r="CQ60" s="13">
        <v>470</v>
      </c>
      <c r="CR60" s="13">
        <v>183</v>
      </c>
      <c r="CS60" s="13">
        <v>224</v>
      </c>
      <c r="CT60" s="13">
        <v>149</v>
      </c>
      <c r="CU60" s="13">
        <v>325</v>
      </c>
      <c r="CV60" s="14">
        <v>29550</v>
      </c>
      <c r="CW60" s="13">
        <v>280</v>
      </c>
      <c r="CX60" s="13">
        <v>216</v>
      </c>
      <c r="CY60" s="13">
        <v>59</v>
      </c>
      <c r="CZ60" s="13">
        <v>245</v>
      </c>
      <c r="DA60" s="13">
        <v>0</v>
      </c>
      <c r="DB60" s="14">
        <v>800</v>
      </c>
      <c r="DC60" s="14">
        <v>30350</v>
      </c>
      <c r="DD60" s="13">
        <v>24</v>
      </c>
      <c r="DE60" s="13">
        <v>1</v>
      </c>
      <c r="DF60" s="13">
        <v>19</v>
      </c>
      <c r="DG60" s="13">
        <v>0</v>
      </c>
      <c r="DH60" s="13">
        <v>1</v>
      </c>
      <c r="DI60" s="13">
        <v>99</v>
      </c>
      <c r="DJ60" s="14">
        <v>144</v>
      </c>
      <c r="DK60" s="13">
        <v>12</v>
      </c>
      <c r="DL60" s="13">
        <v>129</v>
      </c>
      <c r="DM60" s="13">
        <v>0</v>
      </c>
      <c r="DN60" s="14">
        <v>30635</v>
      </c>
    </row>
    <row r="61" spans="1:118" x14ac:dyDescent="0.2">
      <c r="A61" s="10"/>
      <c r="B61" s="11" t="s">
        <v>437</v>
      </c>
      <c r="C61" s="12" t="s">
        <v>438</v>
      </c>
      <c r="D61" s="13">
        <v>243</v>
      </c>
      <c r="E61" s="13">
        <v>101</v>
      </c>
      <c r="F61" s="13">
        <v>95</v>
      </c>
      <c r="G61" s="13">
        <v>29</v>
      </c>
      <c r="H61" s="13">
        <v>136</v>
      </c>
      <c r="I61" s="13">
        <v>78</v>
      </c>
      <c r="J61" s="13">
        <v>36</v>
      </c>
      <c r="K61" s="13">
        <v>52</v>
      </c>
      <c r="L61" s="13">
        <v>106</v>
      </c>
      <c r="M61" s="13">
        <v>88</v>
      </c>
      <c r="N61" s="13">
        <v>136</v>
      </c>
      <c r="O61" s="13">
        <v>85</v>
      </c>
      <c r="P61" s="13">
        <v>608</v>
      </c>
      <c r="Q61" s="13">
        <v>385</v>
      </c>
      <c r="R61" s="13">
        <v>85</v>
      </c>
      <c r="S61" s="13">
        <v>120</v>
      </c>
      <c r="T61" s="13">
        <v>216</v>
      </c>
      <c r="U61" s="13">
        <v>136</v>
      </c>
      <c r="V61" s="13">
        <v>14</v>
      </c>
      <c r="W61" s="13">
        <v>40</v>
      </c>
      <c r="X61" s="13">
        <v>673</v>
      </c>
      <c r="Y61" s="13">
        <v>9</v>
      </c>
      <c r="Z61" s="13">
        <v>93</v>
      </c>
      <c r="AA61" s="13">
        <v>61</v>
      </c>
      <c r="AB61" s="13">
        <v>494</v>
      </c>
      <c r="AC61" s="13">
        <v>558</v>
      </c>
      <c r="AD61" s="13">
        <v>158</v>
      </c>
      <c r="AE61" s="13">
        <v>543</v>
      </c>
      <c r="AF61" s="13">
        <v>0</v>
      </c>
      <c r="AG61" s="13">
        <v>58</v>
      </c>
      <c r="AH61" s="13">
        <v>120</v>
      </c>
      <c r="AI61" s="13">
        <v>713</v>
      </c>
      <c r="AJ61" s="13">
        <v>60</v>
      </c>
      <c r="AK61" s="13">
        <v>542</v>
      </c>
      <c r="AL61" s="13">
        <v>149</v>
      </c>
      <c r="AM61" s="13">
        <v>575</v>
      </c>
      <c r="AN61" s="13">
        <v>1</v>
      </c>
      <c r="AO61" s="13">
        <v>208</v>
      </c>
      <c r="AP61" s="13">
        <v>669</v>
      </c>
      <c r="AQ61" s="13">
        <v>79</v>
      </c>
      <c r="AR61" s="13">
        <v>208</v>
      </c>
      <c r="AS61" s="13">
        <v>23</v>
      </c>
      <c r="AT61" s="13">
        <v>317</v>
      </c>
      <c r="AU61" s="13">
        <v>55</v>
      </c>
      <c r="AV61" s="13">
        <v>618</v>
      </c>
      <c r="AW61" s="13">
        <v>311</v>
      </c>
      <c r="AX61" s="13">
        <v>86</v>
      </c>
      <c r="AY61" s="13">
        <v>86</v>
      </c>
      <c r="AZ61" s="13">
        <v>46</v>
      </c>
      <c r="BA61" s="13">
        <v>86</v>
      </c>
      <c r="BB61" s="13">
        <v>84</v>
      </c>
      <c r="BC61" s="13">
        <v>87</v>
      </c>
      <c r="BD61" s="13">
        <v>121</v>
      </c>
      <c r="BE61" s="13">
        <v>50</v>
      </c>
      <c r="BF61" s="13">
        <v>117</v>
      </c>
      <c r="BG61" s="13">
        <v>86</v>
      </c>
      <c r="BH61" s="13">
        <v>129</v>
      </c>
      <c r="BI61" s="13">
        <v>503</v>
      </c>
      <c r="BJ61" s="13">
        <v>37</v>
      </c>
      <c r="BK61" s="13">
        <v>482</v>
      </c>
      <c r="BL61" s="13">
        <v>614</v>
      </c>
      <c r="BM61" s="13">
        <v>156</v>
      </c>
      <c r="BN61" s="13">
        <v>321</v>
      </c>
      <c r="BO61" s="13">
        <v>375</v>
      </c>
      <c r="BP61" s="13">
        <v>1</v>
      </c>
      <c r="BQ61" s="13">
        <v>13</v>
      </c>
      <c r="BR61" s="13">
        <v>59</v>
      </c>
      <c r="BS61" s="13">
        <v>400</v>
      </c>
      <c r="BT61" s="13">
        <v>262</v>
      </c>
      <c r="BU61" s="13">
        <v>409</v>
      </c>
      <c r="BV61" s="13">
        <v>31</v>
      </c>
      <c r="BW61" s="13">
        <v>214</v>
      </c>
      <c r="BX61" s="13">
        <v>460</v>
      </c>
      <c r="BY61" s="13">
        <v>75</v>
      </c>
      <c r="BZ61" s="13">
        <v>194</v>
      </c>
      <c r="CA61" s="13">
        <v>34</v>
      </c>
      <c r="CB61" s="13">
        <v>285</v>
      </c>
      <c r="CC61" s="13">
        <v>765</v>
      </c>
      <c r="CD61" s="13">
        <v>733</v>
      </c>
      <c r="CE61" s="13">
        <v>203</v>
      </c>
      <c r="CF61" s="13">
        <v>134</v>
      </c>
      <c r="CG61" s="13">
        <v>50</v>
      </c>
      <c r="CH61" s="13">
        <v>175</v>
      </c>
      <c r="CI61" s="13">
        <v>415</v>
      </c>
      <c r="CJ61" s="13">
        <v>165</v>
      </c>
      <c r="CK61" s="13">
        <v>622</v>
      </c>
      <c r="CL61" s="13">
        <v>179</v>
      </c>
      <c r="CM61" s="13">
        <v>154</v>
      </c>
      <c r="CN61" s="13">
        <v>243</v>
      </c>
      <c r="CO61" s="13">
        <v>85</v>
      </c>
      <c r="CP61" s="13">
        <v>71</v>
      </c>
      <c r="CQ61" s="13">
        <v>609</v>
      </c>
      <c r="CR61" s="13">
        <v>196</v>
      </c>
      <c r="CS61" s="13">
        <v>439</v>
      </c>
      <c r="CT61" s="13">
        <v>422</v>
      </c>
      <c r="CU61" s="13">
        <v>565</v>
      </c>
      <c r="CV61" s="14">
        <v>22212</v>
      </c>
      <c r="CW61" s="13">
        <v>268</v>
      </c>
      <c r="CX61" s="13">
        <v>337</v>
      </c>
      <c r="CY61" s="13">
        <v>0</v>
      </c>
      <c r="CZ61" s="13">
        <v>450</v>
      </c>
      <c r="DA61" s="13">
        <v>0</v>
      </c>
      <c r="DB61" s="14">
        <v>1055</v>
      </c>
      <c r="DC61" s="14">
        <v>23267</v>
      </c>
      <c r="DD61" s="13">
        <v>0</v>
      </c>
      <c r="DE61" s="13">
        <v>0</v>
      </c>
      <c r="DF61" s="13">
        <v>0</v>
      </c>
      <c r="DG61" s="13">
        <v>0</v>
      </c>
      <c r="DH61" s="13">
        <v>0</v>
      </c>
      <c r="DI61" s="13">
        <v>0</v>
      </c>
      <c r="DJ61" s="14">
        <v>0</v>
      </c>
      <c r="DK61" s="13">
        <v>1</v>
      </c>
      <c r="DL61" s="13">
        <v>0</v>
      </c>
      <c r="DM61" s="13">
        <v>0</v>
      </c>
      <c r="DN61" s="14">
        <v>23268</v>
      </c>
    </row>
    <row r="62" spans="1:118" x14ac:dyDescent="0.2">
      <c r="A62" s="10"/>
      <c r="B62" s="11" t="s">
        <v>439</v>
      </c>
      <c r="C62" s="12" t="s">
        <v>440</v>
      </c>
      <c r="D62" s="13">
        <v>280</v>
      </c>
      <c r="E62" s="13">
        <v>189</v>
      </c>
      <c r="F62" s="13">
        <v>127</v>
      </c>
      <c r="G62" s="13">
        <v>84</v>
      </c>
      <c r="H62" s="13">
        <v>76</v>
      </c>
      <c r="I62" s="13">
        <v>384</v>
      </c>
      <c r="J62" s="13">
        <v>76</v>
      </c>
      <c r="K62" s="13">
        <v>85</v>
      </c>
      <c r="L62" s="13">
        <v>99</v>
      </c>
      <c r="M62" s="13">
        <v>108</v>
      </c>
      <c r="N62" s="13">
        <v>122</v>
      </c>
      <c r="O62" s="13">
        <v>83</v>
      </c>
      <c r="P62" s="13">
        <v>567</v>
      </c>
      <c r="Q62" s="13">
        <v>250</v>
      </c>
      <c r="R62" s="13">
        <v>32</v>
      </c>
      <c r="S62" s="13">
        <v>144</v>
      </c>
      <c r="T62" s="13">
        <v>323</v>
      </c>
      <c r="U62" s="13">
        <v>161</v>
      </c>
      <c r="V62" s="13">
        <v>100</v>
      </c>
      <c r="W62" s="13">
        <v>199</v>
      </c>
      <c r="X62" s="13">
        <v>153</v>
      </c>
      <c r="Y62" s="13">
        <v>41</v>
      </c>
      <c r="Z62" s="13">
        <v>171</v>
      </c>
      <c r="AA62" s="13">
        <v>186</v>
      </c>
      <c r="AB62" s="13">
        <v>153</v>
      </c>
      <c r="AC62" s="13">
        <v>173</v>
      </c>
      <c r="AD62" s="13">
        <v>182</v>
      </c>
      <c r="AE62" s="13">
        <v>263</v>
      </c>
      <c r="AF62" s="13">
        <v>37</v>
      </c>
      <c r="AG62" s="13">
        <v>34</v>
      </c>
      <c r="AH62" s="13">
        <v>288</v>
      </c>
      <c r="AI62" s="13">
        <v>565</v>
      </c>
      <c r="AJ62" s="13">
        <v>156</v>
      </c>
      <c r="AK62" s="13">
        <v>581</v>
      </c>
      <c r="AL62" s="13">
        <v>333</v>
      </c>
      <c r="AM62" s="13">
        <v>235</v>
      </c>
      <c r="AN62" s="13">
        <v>120</v>
      </c>
      <c r="AO62" s="13">
        <v>286</v>
      </c>
      <c r="AP62" s="13">
        <v>557</v>
      </c>
      <c r="AQ62" s="13">
        <v>84</v>
      </c>
      <c r="AR62" s="13">
        <v>231</v>
      </c>
      <c r="AS62" s="13">
        <v>187</v>
      </c>
      <c r="AT62" s="13">
        <v>217</v>
      </c>
      <c r="AU62" s="13">
        <v>33</v>
      </c>
      <c r="AV62" s="13">
        <v>406</v>
      </c>
      <c r="AW62" s="13">
        <v>251</v>
      </c>
      <c r="AX62" s="13">
        <v>77</v>
      </c>
      <c r="AY62" s="13">
        <v>137</v>
      </c>
      <c r="AZ62" s="13">
        <v>25</v>
      </c>
      <c r="BA62" s="13">
        <v>205</v>
      </c>
      <c r="BB62" s="13">
        <v>147</v>
      </c>
      <c r="BC62" s="13">
        <v>188</v>
      </c>
      <c r="BD62" s="13">
        <v>55</v>
      </c>
      <c r="BE62" s="13">
        <v>51</v>
      </c>
      <c r="BF62" s="13">
        <v>303</v>
      </c>
      <c r="BG62" s="13">
        <v>97</v>
      </c>
      <c r="BH62" s="13">
        <v>187</v>
      </c>
      <c r="BI62" s="13">
        <v>351</v>
      </c>
      <c r="BJ62" s="13">
        <v>47</v>
      </c>
      <c r="BK62" s="13">
        <v>560</v>
      </c>
      <c r="BL62" s="13">
        <v>303</v>
      </c>
      <c r="BM62" s="13">
        <v>75</v>
      </c>
      <c r="BN62" s="13">
        <v>470</v>
      </c>
      <c r="BO62" s="13">
        <v>255</v>
      </c>
      <c r="BP62" s="13">
        <v>224</v>
      </c>
      <c r="BQ62" s="13">
        <v>56</v>
      </c>
      <c r="BR62" s="13">
        <v>153</v>
      </c>
      <c r="BS62" s="13">
        <v>573</v>
      </c>
      <c r="BT62" s="13">
        <v>470</v>
      </c>
      <c r="BU62" s="13">
        <v>470</v>
      </c>
      <c r="BV62" s="13">
        <v>100</v>
      </c>
      <c r="BW62" s="13">
        <v>184</v>
      </c>
      <c r="BX62" s="13">
        <v>147</v>
      </c>
      <c r="BY62" s="13">
        <v>164</v>
      </c>
      <c r="BZ62" s="13">
        <v>229</v>
      </c>
      <c r="CA62" s="13">
        <v>130</v>
      </c>
      <c r="CB62" s="13">
        <v>258</v>
      </c>
      <c r="CC62" s="13">
        <v>417</v>
      </c>
      <c r="CD62" s="13">
        <v>506</v>
      </c>
      <c r="CE62" s="13">
        <v>150</v>
      </c>
      <c r="CF62" s="13">
        <v>146</v>
      </c>
      <c r="CG62" s="13">
        <v>146</v>
      </c>
      <c r="CH62" s="13">
        <v>104</v>
      </c>
      <c r="CI62" s="13">
        <v>357</v>
      </c>
      <c r="CJ62" s="13">
        <v>164</v>
      </c>
      <c r="CK62" s="13">
        <v>235</v>
      </c>
      <c r="CL62" s="13">
        <v>154</v>
      </c>
      <c r="CM62" s="13">
        <v>113</v>
      </c>
      <c r="CN62" s="13">
        <v>141</v>
      </c>
      <c r="CO62" s="13">
        <v>143</v>
      </c>
      <c r="CP62" s="13">
        <v>80</v>
      </c>
      <c r="CQ62" s="13">
        <v>522</v>
      </c>
      <c r="CR62" s="13">
        <v>234</v>
      </c>
      <c r="CS62" s="13">
        <v>111</v>
      </c>
      <c r="CT62" s="13">
        <v>191</v>
      </c>
      <c r="CU62" s="13">
        <v>304</v>
      </c>
      <c r="CV62" s="14">
        <v>20321</v>
      </c>
      <c r="CW62" s="13">
        <v>41</v>
      </c>
      <c r="CX62" s="13">
        <v>33</v>
      </c>
      <c r="CY62" s="13">
        <v>10</v>
      </c>
      <c r="CZ62" s="13">
        <v>103</v>
      </c>
      <c r="DA62" s="13">
        <v>2</v>
      </c>
      <c r="DB62" s="14">
        <v>189</v>
      </c>
      <c r="DC62" s="14">
        <v>20510</v>
      </c>
      <c r="DD62" s="13">
        <v>8</v>
      </c>
      <c r="DE62" s="13">
        <v>0</v>
      </c>
      <c r="DF62" s="13">
        <v>0</v>
      </c>
      <c r="DG62" s="13">
        <v>0</v>
      </c>
      <c r="DH62" s="13">
        <v>28</v>
      </c>
      <c r="DI62" s="13">
        <v>46</v>
      </c>
      <c r="DJ62" s="14">
        <v>82</v>
      </c>
      <c r="DK62" s="13">
        <v>3</v>
      </c>
      <c r="DL62" s="13">
        <v>0</v>
      </c>
      <c r="DM62" s="13">
        <v>0</v>
      </c>
      <c r="DN62" s="14">
        <v>20595</v>
      </c>
    </row>
    <row r="63" spans="1:118" x14ac:dyDescent="0.2">
      <c r="A63" s="10"/>
      <c r="B63" s="11" t="s">
        <v>441</v>
      </c>
      <c r="C63" s="12" t="s">
        <v>442</v>
      </c>
      <c r="D63" s="13">
        <v>239</v>
      </c>
      <c r="E63" s="13">
        <v>53</v>
      </c>
      <c r="F63" s="13">
        <v>158</v>
      </c>
      <c r="G63" s="13">
        <v>7</v>
      </c>
      <c r="H63" s="13">
        <v>11</v>
      </c>
      <c r="I63" s="13">
        <v>595</v>
      </c>
      <c r="J63" s="13">
        <v>127</v>
      </c>
      <c r="K63" s="13">
        <v>1</v>
      </c>
      <c r="L63" s="13">
        <v>52</v>
      </c>
      <c r="M63" s="13">
        <v>33</v>
      </c>
      <c r="N63" s="13">
        <v>166</v>
      </c>
      <c r="O63" s="13">
        <v>59</v>
      </c>
      <c r="P63" s="13">
        <v>265</v>
      </c>
      <c r="Q63" s="13">
        <v>167</v>
      </c>
      <c r="R63" s="13">
        <v>42</v>
      </c>
      <c r="S63" s="13">
        <v>116</v>
      </c>
      <c r="T63" s="13">
        <v>367</v>
      </c>
      <c r="U63" s="13">
        <v>31</v>
      </c>
      <c r="V63" s="13">
        <v>65</v>
      </c>
      <c r="W63" s="13">
        <v>179</v>
      </c>
      <c r="X63" s="13">
        <v>78</v>
      </c>
      <c r="Y63" s="13">
        <v>1</v>
      </c>
      <c r="Z63" s="13">
        <v>211</v>
      </c>
      <c r="AA63" s="13">
        <v>152</v>
      </c>
      <c r="AB63" s="13">
        <v>257</v>
      </c>
      <c r="AC63" s="13">
        <v>50</v>
      </c>
      <c r="AD63" s="13">
        <v>202</v>
      </c>
      <c r="AE63" s="13">
        <v>262</v>
      </c>
      <c r="AF63" s="13">
        <v>47</v>
      </c>
      <c r="AG63" s="13">
        <v>37</v>
      </c>
      <c r="AH63" s="13">
        <v>378</v>
      </c>
      <c r="AI63" s="13">
        <v>551</v>
      </c>
      <c r="AJ63" s="13">
        <v>2</v>
      </c>
      <c r="AK63" s="13">
        <v>1092</v>
      </c>
      <c r="AL63" s="13">
        <v>366</v>
      </c>
      <c r="AM63" s="13">
        <v>187</v>
      </c>
      <c r="AN63" s="13">
        <v>45</v>
      </c>
      <c r="AO63" s="13">
        <v>29</v>
      </c>
      <c r="AP63" s="13">
        <v>183</v>
      </c>
      <c r="AQ63" s="13">
        <v>82</v>
      </c>
      <c r="AR63" s="13">
        <v>59</v>
      </c>
      <c r="AS63" s="13">
        <v>82</v>
      </c>
      <c r="AT63" s="13">
        <v>129</v>
      </c>
      <c r="AU63" s="13">
        <v>74</v>
      </c>
      <c r="AV63" s="13">
        <v>272</v>
      </c>
      <c r="AW63" s="13">
        <v>32</v>
      </c>
      <c r="AX63" s="13">
        <v>42</v>
      </c>
      <c r="AY63" s="13">
        <v>121</v>
      </c>
      <c r="AZ63" s="13">
        <v>25</v>
      </c>
      <c r="BA63" s="13">
        <v>220</v>
      </c>
      <c r="BB63" s="13">
        <v>17</v>
      </c>
      <c r="BC63" s="13">
        <v>145</v>
      </c>
      <c r="BD63" s="13">
        <v>0</v>
      </c>
      <c r="BE63" s="13">
        <v>59</v>
      </c>
      <c r="BF63" s="13">
        <v>211</v>
      </c>
      <c r="BG63" s="13">
        <v>41</v>
      </c>
      <c r="BH63" s="13">
        <v>79</v>
      </c>
      <c r="BI63" s="13">
        <v>393</v>
      </c>
      <c r="BJ63" s="13">
        <v>16</v>
      </c>
      <c r="BK63" s="13">
        <v>857</v>
      </c>
      <c r="BL63" s="13">
        <v>78</v>
      </c>
      <c r="BM63" s="13">
        <v>13</v>
      </c>
      <c r="BN63" s="13">
        <v>195</v>
      </c>
      <c r="BO63" s="13">
        <v>232</v>
      </c>
      <c r="BP63" s="13">
        <v>237</v>
      </c>
      <c r="BQ63" s="13">
        <v>51</v>
      </c>
      <c r="BR63" s="13">
        <v>216</v>
      </c>
      <c r="BS63" s="13">
        <v>1042</v>
      </c>
      <c r="BT63" s="13">
        <v>580</v>
      </c>
      <c r="BU63" s="13">
        <v>310</v>
      </c>
      <c r="BV63" s="13">
        <v>81</v>
      </c>
      <c r="BW63" s="13">
        <v>38</v>
      </c>
      <c r="BX63" s="13">
        <v>21</v>
      </c>
      <c r="BY63" s="13">
        <v>121</v>
      </c>
      <c r="BZ63" s="13">
        <v>481</v>
      </c>
      <c r="CA63" s="13">
        <v>599</v>
      </c>
      <c r="CB63" s="13">
        <v>284</v>
      </c>
      <c r="CC63" s="13">
        <v>520</v>
      </c>
      <c r="CD63" s="13">
        <v>548</v>
      </c>
      <c r="CE63" s="13">
        <v>162</v>
      </c>
      <c r="CF63" s="13">
        <v>2</v>
      </c>
      <c r="CG63" s="13">
        <v>28</v>
      </c>
      <c r="CH63" s="13">
        <v>7</v>
      </c>
      <c r="CI63" s="13">
        <v>254</v>
      </c>
      <c r="CJ63" s="13">
        <v>85</v>
      </c>
      <c r="CK63" s="13">
        <v>40</v>
      </c>
      <c r="CL63" s="13">
        <v>111</v>
      </c>
      <c r="CM63" s="13">
        <v>5</v>
      </c>
      <c r="CN63" s="13">
        <v>25</v>
      </c>
      <c r="CO63" s="13">
        <v>69</v>
      </c>
      <c r="CP63" s="13">
        <v>50</v>
      </c>
      <c r="CQ63" s="13">
        <v>748</v>
      </c>
      <c r="CR63" s="13">
        <v>822</v>
      </c>
      <c r="CS63" s="13">
        <v>521</v>
      </c>
      <c r="CT63" s="13">
        <v>771</v>
      </c>
      <c r="CU63" s="13">
        <v>259</v>
      </c>
      <c r="CV63" s="14">
        <v>19425</v>
      </c>
      <c r="CW63" s="13">
        <v>46</v>
      </c>
      <c r="CX63" s="13">
        <v>269</v>
      </c>
      <c r="CY63" s="13">
        <v>223</v>
      </c>
      <c r="CZ63" s="13">
        <v>198</v>
      </c>
      <c r="DA63" s="13">
        <v>1</v>
      </c>
      <c r="DB63" s="14">
        <v>737</v>
      </c>
      <c r="DC63" s="14">
        <v>20162</v>
      </c>
      <c r="DD63" s="13">
        <v>0</v>
      </c>
      <c r="DE63" s="13">
        <v>0</v>
      </c>
      <c r="DF63" s="13">
        <v>0</v>
      </c>
      <c r="DG63" s="13">
        <v>0</v>
      </c>
      <c r="DH63" s="13">
        <v>41</v>
      </c>
      <c r="DI63" s="13">
        <v>72</v>
      </c>
      <c r="DJ63" s="14">
        <v>113</v>
      </c>
      <c r="DK63" s="13">
        <v>3</v>
      </c>
      <c r="DL63" s="13">
        <v>54</v>
      </c>
      <c r="DM63" s="13">
        <v>0</v>
      </c>
      <c r="DN63" s="14">
        <v>20332</v>
      </c>
    </row>
    <row r="64" spans="1:118" x14ac:dyDescent="0.2">
      <c r="A64" s="10"/>
      <c r="B64" s="11" t="s">
        <v>443</v>
      </c>
      <c r="C64" s="12" t="s">
        <v>444</v>
      </c>
      <c r="D64" s="13">
        <v>365</v>
      </c>
      <c r="E64" s="13">
        <v>7</v>
      </c>
      <c r="F64" s="13">
        <v>213</v>
      </c>
      <c r="G64" s="13">
        <v>170</v>
      </c>
      <c r="H64" s="13">
        <v>48</v>
      </c>
      <c r="I64" s="13">
        <v>186</v>
      </c>
      <c r="J64" s="13">
        <v>70</v>
      </c>
      <c r="K64" s="13">
        <v>128</v>
      </c>
      <c r="L64" s="13">
        <v>71</v>
      </c>
      <c r="M64" s="13">
        <v>73</v>
      </c>
      <c r="N64" s="13">
        <v>35</v>
      </c>
      <c r="O64" s="13">
        <v>44</v>
      </c>
      <c r="P64" s="13">
        <v>1129</v>
      </c>
      <c r="Q64" s="13">
        <v>152</v>
      </c>
      <c r="R64" s="13">
        <v>1</v>
      </c>
      <c r="S64" s="13">
        <v>39</v>
      </c>
      <c r="T64" s="13">
        <v>173</v>
      </c>
      <c r="U64" s="13">
        <v>117</v>
      </c>
      <c r="V64" s="13">
        <v>59</v>
      </c>
      <c r="W64" s="13">
        <v>245</v>
      </c>
      <c r="X64" s="13">
        <v>157</v>
      </c>
      <c r="Y64" s="13">
        <v>53</v>
      </c>
      <c r="Z64" s="13">
        <v>17</v>
      </c>
      <c r="AA64" s="13">
        <v>245</v>
      </c>
      <c r="AB64" s="13">
        <v>106</v>
      </c>
      <c r="AC64" s="13">
        <v>131</v>
      </c>
      <c r="AD64" s="13">
        <v>68</v>
      </c>
      <c r="AE64" s="13">
        <v>634</v>
      </c>
      <c r="AF64" s="13">
        <v>17</v>
      </c>
      <c r="AG64" s="13">
        <v>28</v>
      </c>
      <c r="AH64" s="13">
        <v>440</v>
      </c>
      <c r="AI64" s="13">
        <v>488</v>
      </c>
      <c r="AJ64" s="13">
        <v>87</v>
      </c>
      <c r="AK64" s="13">
        <v>286</v>
      </c>
      <c r="AL64" s="13">
        <v>484</v>
      </c>
      <c r="AM64" s="13">
        <v>323</v>
      </c>
      <c r="AN64" s="13">
        <v>101</v>
      </c>
      <c r="AO64" s="13">
        <v>161</v>
      </c>
      <c r="AP64" s="13">
        <v>621</v>
      </c>
      <c r="AQ64" s="13">
        <v>37</v>
      </c>
      <c r="AR64" s="13">
        <v>208</v>
      </c>
      <c r="AS64" s="13">
        <v>212</v>
      </c>
      <c r="AT64" s="13">
        <v>56</v>
      </c>
      <c r="AU64" s="13">
        <v>13</v>
      </c>
      <c r="AV64" s="13">
        <v>481</v>
      </c>
      <c r="AW64" s="13">
        <v>469</v>
      </c>
      <c r="AX64" s="13">
        <v>31</v>
      </c>
      <c r="AY64" s="13">
        <v>67</v>
      </c>
      <c r="AZ64" s="13">
        <v>0</v>
      </c>
      <c r="BA64" s="13">
        <v>69</v>
      </c>
      <c r="BB64" s="13">
        <v>155</v>
      </c>
      <c r="BC64" s="13">
        <v>52</v>
      </c>
      <c r="BD64" s="13">
        <v>168</v>
      </c>
      <c r="BE64" s="13">
        <v>10</v>
      </c>
      <c r="BF64" s="13">
        <v>262</v>
      </c>
      <c r="BG64" s="13">
        <v>91</v>
      </c>
      <c r="BH64" s="13">
        <v>334</v>
      </c>
      <c r="BI64" s="13">
        <v>895</v>
      </c>
      <c r="BJ64" s="13">
        <v>41</v>
      </c>
      <c r="BK64" s="13">
        <v>487</v>
      </c>
      <c r="BL64" s="13">
        <v>254</v>
      </c>
      <c r="BM64" s="13">
        <v>27</v>
      </c>
      <c r="BN64" s="13">
        <v>97</v>
      </c>
      <c r="BO64" s="13">
        <v>13</v>
      </c>
      <c r="BP64" s="13">
        <v>61</v>
      </c>
      <c r="BQ64" s="13">
        <v>28</v>
      </c>
      <c r="BR64" s="13">
        <v>26</v>
      </c>
      <c r="BS64" s="13">
        <v>40</v>
      </c>
      <c r="BT64" s="13">
        <v>99</v>
      </c>
      <c r="BU64" s="13">
        <v>837</v>
      </c>
      <c r="BV64" s="13">
        <v>17</v>
      </c>
      <c r="BW64" s="13">
        <v>166</v>
      </c>
      <c r="BX64" s="13">
        <v>184</v>
      </c>
      <c r="BY64" s="13">
        <v>199</v>
      </c>
      <c r="BZ64" s="13">
        <v>499</v>
      </c>
      <c r="CA64" s="13">
        <v>502</v>
      </c>
      <c r="CB64" s="13">
        <v>180</v>
      </c>
      <c r="CC64" s="13">
        <v>340</v>
      </c>
      <c r="CD64" s="13">
        <v>556</v>
      </c>
      <c r="CE64" s="13">
        <v>33</v>
      </c>
      <c r="CF64" s="13">
        <v>148</v>
      </c>
      <c r="CG64" s="13">
        <v>101</v>
      </c>
      <c r="CH64" s="13">
        <v>93</v>
      </c>
      <c r="CI64" s="13">
        <v>326</v>
      </c>
      <c r="CJ64" s="13">
        <v>262</v>
      </c>
      <c r="CK64" s="13">
        <v>241</v>
      </c>
      <c r="CL64" s="13">
        <v>25</v>
      </c>
      <c r="CM64" s="13">
        <v>239</v>
      </c>
      <c r="CN64" s="13">
        <v>335</v>
      </c>
      <c r="CO64" s="13">
        <v>54</v>
      </c>
      <c r="CP64" s="13">
        <v>70</v>
      </c>
      <c r="CQ64" s="13">
        <v>382</v>
      </c>
      <c r="CR64" s="13">
        <v>457</v>
      </c>
      <c r="CS64" s="13">
        <v>178</v>
      </c>
      <c r="CT64" s="13">
        <v>296</v>
      </c>
      <c r="CU64" s="13">
        <v>442</v>
      </c>
      <c r="CV64" s="14">
        <v>19717</v>
      </c>
      <c r="CW64" s="13">
        <v>92</v>
      </c>
      <c r="CX64" s="13">
        <v>1</v>
      </c>
      <c r="CY64" s="13">
        <v>10</v>
      </c>
      <c r="CZ64" s="13">
        <v>237</v>
      </c>
      <c r="DA64" s="13">
        <v>40</v>
      </c>
      <c r="DB64" s="14">
        <v>380</v>
      </c>
      <c r="DC64" s="14">
        <v>20097</v>
      </c>
      <c r="DD64" s="13">
        <v>0</v>
      </c>
      <c r="DE64" s="13">
        <v>0</v>
      </c>
      <c r="DF64" s="13">
        <v>0</v>
      </c>
      <c r="DG64" s="13">
        <v>0</v>
      </c>
      <c r="DH64" s="13">
        <v>1</v>
      </c>
      <c r="DI64" s="13">
        <v>121</v>
      </c>
      <c r="DJ64" s="14">
        <v>122</v>
      </c>
      <c r="DK64" s="13">
        <v>5</v>
      </c>
      <c r="DL64" s="13">
        <v>3</v>
      </c>
      <c r="DM64" s="13">
        <v>0</v>
      </c>
      <c r="DN64" s="14">
        <v>20227</v>
      </c>
    </row>
    <row r="65" spans="1:118" x14ac:dyDescent="0.2">
      <c r="A65" s="10"/>
      <c r="B65" s="11" t="s">
        <v>445</v>
      </c>
      <c r="C65" s="12" t="s">
        <v>446</v>
      </c>
      <c r="D65" s="13">
        <v>600</v>
      </c>
      <c r="E65" s="13">
        <v>98</v>
      </c>
      <c r="F65" s="13">
        <v>46</v>
      </c>
      <c r="G65" s="13">
        <v>4</v>
      </c>
      <c r="H65" s="13">
        <v>85</v>
      </c>
      <c r="I65" s="13">
        <v>521</v>
      </c>
      <c r="J65" s="13">
        <v>16</v>
      </c>
      <c r="K65" s="13">
        <v>0</v>
      </c>
      <c r="L65" s="13">
        <v>93</v>
      </c>
      <c r="M65" s="13">
        <v>366</v>
      </c>
      <c r="N65" s="13">
        <v>89</v>
      </c>
      <c r="O65" s="13">
        <v>14</v>
      </c>
      <c r="P65" s="13">
        <v>448</v>
      </c>
      <c r="Q65" s="13">
        <v>306</v>
      </c>
      <c r="R65" s="13">
        <v>5</v>
      </c>
      <c r="S65" s="13">
        <v>6</v>
      </c>
      <c r="T65" s="13">
        <v>407</v>
      </c>
      <c r="U65" s="13">
        <v>31</v>
      </c>
      <c r="V65" s="13">
        <v>84</v>
      </c>
      <c r="W65" s="13">
        <v>123</v>
      </c>
      <c r="X65" s="13">
        <v>39</v>
      </c>
      <c r="Y65" s="13">
        <v>53</v>
      </c>
      <c r="Z65" s="13">
        <v>142</v>
      </c>
      <c r="AA65" s="13">
        <v>27</v>
      </c>
      <c r="AB65" s="13">
        <v>31</v>
      </c>
      <c r="AC65" s="13">
        <v>164</v>
      </c>
      <c r="AD65" s="13">
        <v>153</v>
      </c>
      <c r="AE65" s="13">
        <v>295</v>
      </c>
      <c r="AF65" s="13">
        <v>18</v>
      </c>
      <c r="AG65" s="13">
        <v>2</v>
      </c>
      <c r="AH65" s="13">
        <v>209</v>
      </c>
      <c r="AI65" s="13">
        <v>451</v>
      </c>
      <c r="AJ65" s="13">
        <v>72</v>
      </c>
      <c r="AK65" s="13">
        <v>453</v>
      </c>
      <c r="AL65" s="13">
        <v>206</v>
      </c>
      <c r="AM65" s="13">
        <v>177</v>
      </c>
      <c r="AN65" s="13">
        <v>50</v>
      </c>
      <c r="AO65" s="13">
        <v>204</v>
      </c>
      <c r="AP65" s="13">
        <v>315</v>
      </c>
      <c r="AQ65" s="13">
        <v>28</v>
      </c>
      <c r="AR65" s="13">
        <v>159</v>
      </c>
      <c r="AS65" s="13">
        <v>20</v>
      </c>
      <c r="AT65" s="13">
        <v>66</v>
      </c>
      <c r="AU65" s="13">
        <v>1</v>
      </c>
      <c r="AV65" s="13">
        <v>217</v>
      </c>
      <c r="AW65" s="13">
        <v>503</v>
      </c>
      <c r="AX65" s="13">
        <v>17</v>
      </c>
      <c r="AY65" s="13">
        <v>199</v>
      </c>
      <c r="AZ65" s="13">
        <v>5</v>
      </c>
      <c r="BA65" s="13">
        <v>232</v>
      </c>
      <c r="BB65" s="13">
        <v>263</v>
      </c>
      <c r="BC65" s="13">
        <v>9</v>
      </c>
      <c r="BD65" s="13">
        <v>75</v>
      </c>
      <c r="BE65" s="13">
        <v>8</v>
      </c>
      <c r="BF65" s="13">
        <v>157</v>
      </c>
      <c r="BG65" s="13">
        <v>2</v>
      </c>
      <c r="BH65" s="13">
        <v>149</v>
      </c>
      <c r="BI65" s="13">
        <v>13</v>
      </c>
      <c r="BJ65" s="13">
        <v>5</v>
      </c>
      <c r="BK65" s="13">
        <v>327</v>
      </c>
      <c r="BL65" s="13">
        <v>398</v>
      </c>
      <c r="BM65" s="13">
        <v>46</v>
      </c>
      <c r="BN65" s="13">
        <v>24</v>
      </c>
      <c r="BO65" s="13">
        <v>78</v>
      </c>
      <c r="BP65" s="13">
        <v>442</v>
      </c>
      <c r="BQ65" s="13">
        <v>162</v>
      </c>
      <c r="BR65" s="13">
        <v>179</v>
      </c>
      <c r="BS65" s="13">
        <v>502</v>
      </c>
      <c r="BT65" s="13">
        <v>107</v>
      </c>
      <c r="BU65" s="13">
        <v>1081</v>
      </c>
      <c r="BV65" s="13">
        <v>5</v>
      </c>
      <c r="BW65" s="13">
        <v>125</v>
      </c>
      <c r="BX65" s="13">
        <v>83</v>
      </c>
      <c r="BY65" s="13">
        <v>19</v>
      </c>
      <c r="BZ65" s="13">
        <v>51</v>
      </c>
      <c r="CA65" s="13">
        <v>942</v>
      </c>
      <c r="CB65" s="13">
        <v>53</v>
      </c>
      <c r="CC65" s="13">
        <v>605</v>
      </c>
      <c r="CD65" s="13">
        <v>985</v>
      </c>
      <c r="CE65" s="13">
        <v>54</v>
      </c>
      <c r="CF65" s="13">
        <v>144</v>
      </c>
      <c r="CG65" s="13">
        <v>74</v>
      </c>
      <c r="CH65" s="13">
        <v>21</v>
      </c>
      <c r="CI65" s="13">
        <v>401</v>
      </c>
      <c r="CJ65" s="13">
        <v>11</v>
      </c>
      <c r="CK65" s="13">
        <v>60</v>
      </c>
      <c r="CL65" s="13">
        <v>261</v>
      </c>
      <c r="CM65" s="13">
        <v>104</v>
      </c>
      <c r="CN65" s="13">
        <v>171</v>
      </c>
      <c r="CO65" s="13">
        <v>43</v>
      </c>
      <c r="CP65" s="13">
        <v>8</v>
      </c>
      <c r="CQ65" s="13">
        <v>859</v>
      </c>
      <c r="CR65" s="13">
        <v>746</v>
      </c>
      <c r="CS65" s="13">
        <v>252</v>
      </c>
      <c r="CT65" s="13">
        <v>604</v>
      </c>
      <c r="CU65" s="13">
        <v>462</v>
      </c>
      <c r="CV65" s="14">
        <v>19020</v>
      </c>
      <c r="CW65" s="13">
        <v>132</v>
      </c>
      <c r="CX65" s="13">
        <v>88</v>
      </c>
      <c r="CY65" s="13">
        <v>21</v>
      </c>
      <c r="CZ65" s="13">
        <v>302</v>
      </c>
      <c r="DA65" s="13">
        <v>1</v>
      </c>
      <c r="DB65" s="14">
        <v>544</v>
      </c>
      <c r="DC65" s="14">
        <v>19564</v>
      </c>
      <c r="DD65" s="13">
        <v>0</v>
      </c>
      <c r="DE65" s="13">
        <v>0</v>
      </c>
      <c r="DF65" s="13">
        <v>0</v>
      </c>
      <c r="DG65" s="13">
        <v>0</v>
      </c>
      <c r="DH65" s="13">
        <v>1</v>
      </c>
      <c r="DI65" s="13">
        <v>14</v>
      </c>
      <c r="DJ65" s="14">
        <v>15</v>
      </c>
      <c r="DK65" s="13">
        <v>1</v>
      </c>
      <c r="DL65" s="13">
        <v>0</v>
      </c>
      <c r="DM65" s="13">
        <v>0</v>
      </c>
      <c r="DN65" s="14">
        <v>19580</v>
      </c>
    </row>
    <row r="66" spans="1:118" x14ac:dyDescent="0.2">
      <c r="A66" s="10"/>
      <c r="B66" s="11" t="s">
        <v>447</v>
      </c>
      <c r="C66" s="12" t="s">
        <v>448</v>
      </c>
      <c r="D66" s="13">
        <v>95</v>
      </c>
      <c r="E66" s="13">
        <v>50</v>
      </c>
      <c r="F66" s="13">
        <v>83</v>
      </c>
      <c r="G66" s="13">
        <v>8</v>
      </c>
      <c r="H66" s="13">
        <v>25</v>
      </c>
      <c r="I66" s="13">
        <v>87</v>
      </c>
      <c r="J66" s="13">
        <v>20</v>
      </c>
      <c r="K66" s="13">
        <v>47</v>
      </c>
      <c r="L66" s="13">
        <v>4</v>
      </c>
      <c r="M66" s="13">
        <v>37</v>
      </c>
      <c r="N66" s="13">
        <v>90</v>
      </c>
      <c r="O66" s="13">
        <v>5261</v>
      </c>
      <c r="P66" s="13">
        <v>196</v>
      </c>
      <c r="Q66" s="13">
        <v>149</v>
      </c>
      <c r="R66" s="13">
        <v>48</v>
      </c>
      <c r="S66" s="13">
        <v>124</v>
      </c>
      <c r="T66" s="13">
        <v>414</v>
      </c>
      <c r="U66" s="13">
        <v>115</v>
      </c>
      <c r="V66" s="13">
        <v>6</v>
      </c>
      <c r="W66" s="13">
        <v>365</v>
      </c>
      <c r="X66" s="13">
        <v>119</v>
      </c>
      <c r="Y66" s="13">
        <v>3</v>
      </c>
      <c r="Z66" s="13">
        <v>77</v>
      </c>
      <c r="AA66" s="13">
        <v>324</v>
      </c>
      <c r="AB66" s="13">
        <v>45</v>
      </c>
      <c r="AC66" s="13">
        <v>92</v>
      </c>
      <c r="AD66" s="13">
        <v>141</v>
      </c>
      <c r="AE66" s="13">
        <v>51</v>
      </c>
      <c r="AF66" s="13">
        <v>1</v>
      </c>
      <c r="AG66" s="13">
        <v>0</v>
      </c>
      <c r="AH66" s="13">
        <v>136</v>
      </c>
      <c r="AI66" s="13">
        <v>203</v>
      </c>
      <c r="AJ66" s="13">
        <v>124</v>
      </c>
      <c r="AK66" s="13">
        <v>251</v>
      </c>
      <c r="AL66" s="13">
        <v>140</v>
      </c>
      <c r="AM66" s="13">
        <v>191</v>
      </c>
      <c r="AN66" s="13">
        <v>4</v>
      </c>
      <c r="AO66" s="13">
        <v>91</v>
      </c>
      <c r="AP66" s="13">
        <v>70</v>
      </c>
      <c r="AQ66" s="13">
        <v>78</v>
      </c>
      <c r="AR66" s="13">
        <v>184</v>
      </c>
      <c r="AS66" s="13">
        <v>181</v>
      </c>
      <c r="AT66" s="13">
        <v>68</v>
      </c>
      <c r="AU66" s="13">
        <v>17</v>
      </c>
      <c r="AV66" s="13">
        <v>339</v>
      </c>
      <c r="AW66" s="13">
        <v>348</v>
      </c>
      <c r="AX66" s="13">
        <v>6</v>
      </c>
      <c r="AY66" s="13">
        <v>26</v>
      </c>
      <c r="AZ66" s="13">
        <v>24</v>
      </c>
      <c r="BA66" s="13">
        <v>117</v>
      </c>
      <c r="BB66" s="13">
        <v>179</v>
      </c>
      <c r="BC66" s="13">
        <v>192</v>
      </c>
      <c r="BD66" s="13">
        <v>50</v>
      </c>
      <c r="BE66" s="13">
        <v>3</v>
      </c>
      <c r="BF66" s="13">
        <v>91</v>
      </c>
      <c r="BG66" s="13">
        <v>6</v>
      </c>
      <c r="BH66" s="13">
        <v>162</v>
      </c>
      <c r="BI66" s="13">
        <v>281</v>
      </c>
      <c r="BJ66" s="13">
        <v>41</v>
      </c>
      <c r="BK66" s="13">
        <v>397</v>
      </c>
      <c r="BL66" s="13">
        <v>109</v>
      </c>
      <c r="BM66" s="13">
        <v>98</v>
      </c>
      <c r="BN66" s="13">
        <v>120</v>
      </c>
      <c r="BO66" s="13">
        <v>217</v>
      </c>
      <c r="BP66" s="13">
        <v>423</v>
      </c>
      <c r="BQ66" s="13">
        <v>85</v>
      </c>
      <c r="BR66" s="13">
        <v>167</v>
      </c>
      <c r="BS66" s="13">
        <v>597</v>
      </c>
      <c r="BT66" s="13">
        <v>2010</v>
      </c>
      <c r="BU66" s="13">
        <v>188</v>
      </c>
      <c r="BV66" s="13">
        <v>64</v>
      </c>
      <c r="BW66" s="13">
        <v>92</v>
      </c>
      <c r="BX66" s="13">
        <v>46</v>
      </c>
      <c r="BY66" s="13">
        <v>101</v>
      </c>
      <c r="BZ66" s="13">
        <v>150</v>
      </c>
      <c r="CA66" s="13">
        <v>119</v>
      </c>
      <c r="CB66" s="13">
        <v>322</v>
      </c>
      <c r="CC66" s="13">
        <v>119</v>
      </c>
      <c r="CD66" s="13">
        <v>231</v>
      </c>
      <c r="CE66" s="13">
        <v>114</v>
      </c>
      <c r="CF66" s="13">
        <v>156</v>
      </c>
      <c r="CG66" s="13">
        <v>146</v>
      </c>
      <c r="CH66" s="13">
        <v>30</v>
      </c>
      <c r="CI66" s="13">
        <v>176</v>
      </c>
      <c r="CJ66" s="13">
        <v>126</v>
      </c>
      <c r="CK66" s="13">
        <v>196</v>
      </c>
      <c r="CL66" s="13">
        <v>163</v>
      </c>
      <c r="CM66" s="13">
        <v>207</v>
      </c>
      <c r="CN66" s="13">
        <v>99</v>
      </c>
      <c r="CO66" s="13">
        <v>56</v>
      </c>
      <c r="CP66" s="13">
        <v>37</v>
      </c>
      <c r="CQ66" s="13">
        <v>145</v>
      </c>
      <c r="CR66" s="13">
        <v>124</v>
      </c>
      <c r="CS66" s="13">
        <v>92</v>
      </c>
      <c r="CT66" s="13">
        <v>138</v>
      </c>
      <c r="CU66" s="13">
        <v>90</v>
      </c>
      <c r="CV66" s="14">
        <v>19430</v>
      </c>
      <c r="CW66" s="13">
        <v>33</v>
      </c>
      <c r="CX66" s="13">
        <v>0</v>
      </c>
      <c r="CY66" s="13">
        <v>0</v>
      </c>
      <c r="CZ66" s="13">
        <v>2</v>
      </c>
      <c r="DA66" s="13">
        <v>0</v>
      </c>
      <c r="DB66" s="14">
        <v>35</v>
      </c>
      <c r="DC66" s="14">
        <v>19465</v>
      </c>
      <c r="DD66" s="13">
        <v>0</v>
      </c>
      <c r="DE66" s="13">
        <v>0</v>
      </c>
      <c r="DF66" s="13">
        <v>0</v>
      </c>
      <c r="DG66" s="13">
        <v>0</v>
      </c>
      <c r="DH66" s="13">
        <v>0</v>
      </c>
      <c r="DI66" s="13">
        <v>66</v>
      </c>
      <c r="DJ66" s="14">
        <v>66</v>
      </c>
      <c r="DK66" s="13">
        <v>2</v>
      </c>
      <c r="DL66" s="13">
        <v>27</v>
      </c>
      <c r="DM66" s="13">
        <v>0</v>
      </c>
      <c r="DN66" s="14">
        <v>19560</v>
      </c>
    </row>
    <row r="67" spans="1:118" x14ac:dyDescent="0.2">
      <c r="A67" s="10"/>
      <c r="B67" s="11" t="s">
        <v>449</v>
      </c>
      <c r="C67" s="12" t="s">
        <v>450</v>
      </c>
      <c r="D67" s="13">
        <v>127</v>
      </c>
      <c r="E67" s="13">
        <v>225</v>
      </c>
      <c r="F67" s="13">
        <v>82</v>
      </c>
      <c r="G67" s="13">
        <v>35</v>
      </c>
      <c r="H67" s="13">
        <v>12</v>
      </c>
      <c r="I67" s="13">
        <v>181</v>
      </c>
      <c r="J67" s="13">
        <v>68</v>
      </c>
      <c r="K67" s="13">
        <v>27</v>
      </c>
      <c r="L67" s="13">
        <v>73</v>
      </c>
      <c r="M67" s="13">
        <v>129</v>
      </c>
      <c r="N67" s="13">
        <v>132</v>
      </c>
      <c r="O67" s="13">
        <v>37</v>
      </c>
      <c r="P67" s="13">
        <v>306</v>
      </c>
      <c r="Q67" s="13">
        <v>115</v>
      </c>
      <c r="R67" s="13">
        <v>40</v>
      </c>
      <c r="S67" s="13">
        <v>187</v>
      </c>
      <c r="T67" s="13">
        <v>225</v>
      </c>
      <c r="U67" s="13">
        <v>138</v>
      </c>
      <c r="V67" s="13">
        <v>39</v>
      </c>
      <c r="W67" s="13">
        <v>65</v>
      </c>
      <c r="X67" s="13">
        <v>330</v>
      </c>
      <c r="Y67" s="13">
        <v>8</v>
      </c>
      <c r="Z67" s="13">
        <v>113</v>
      </c>
      <c r="AA67" s="13">
        <v>97</v>
      </c>
      <c r="AB67" s="13">
        <v>143</v>
      </c>
      <c r="AC67" s="13">
        <v>277</v>
      </c>
      <c r="AD67" s="13">
        <v>295</v>
      </c>
      <c r="AE67" s="13">
        <v>410</v>
      </c>
      <c r="AF67" s="13">
        <v>19</v>
      </c>
      <c r="AG67" s="13">
        <v>32</v>
      </c>
      <c r="AH67" s="13">
        <v>152</v>
      </c>
      <c r="AI67" s="13">
        <v>268</v>
      </c>
      <c r="AJ67" s="13">
        <v>42</v>
      </c>
      <c r="AK67" s="13">
        <v>440</v>
      </c>
      <c r="AL67" s="13">
        <v>205</v>
      </c>
      <c r="AM67" s="13">
        <v>473</v>
      </c>
      <c r="AN67" s="13">
        <v>109</v>
      </c>
      <c r="AO67" s="13">
        <v>410</v>
      </c>
      <c r="AP67" s="13">
        <v>130</v>
      </c>
      <c r="AQ67" s="13">
        <v>76</v>
      </c>
      <c r="AR67" s="13">
        <v>80</v>
      </c>
      <c r="AS67" s="13">
        <v>292</v>
      </c>
      <c r="AT67" s="13">
        <v>268</v>
      </c>
      <c r="AU67" s="13">
        <v>23</v>
      </c>
      <c r="AV67" s="13">
        <v>962</v>
      </c>
      <c r="AW67" s="13">
        <v>415</v>
      </c>
      <c r="AX67" s="13">
        <v>123</v>
      </c>
      <c r="AY67" s="13">
        <v>249</v>
      </c>
      <c r="AZ67" s="13">
        <v>16</v>
      </c>
      <c r="BA67" s="13">
        <v>273</v>
      </c>
      <c r="BB67" s="13">
        <v>64</v>
      </c>
      <c r="BC67" s="13">
        <v>235</v>
      </c>
      <c r="BD67" s="13">
        <v>32</v>
      </c>
      <c r="BE67" s="13">
        <v>51</v>
      </c>
      <c r="BF67" s="13">
        <v>270</v>
      </c>
      <c r="BG67" s="13">
        <v>107</v>
      </c>
      <c r="BH67" s="13">
        <v>322</v>
      </c>
      <c r="BI67" s="13">
        <v>294</v>
      </c>
      <c r="BJ67" s="13">
        <v>60</v>
      </c>
      <c r="BK67" s="13">
        <v>693</v>
      </c>
      <c r="BL67" s="13">
        <v>370</v>
      </c>
      <c r="BM67" s="13">
        <v>66</v>
      </c>
      <c r="BN67" s="13">
        <v>530</v>
      </c>
      <c r="BO67" s="13">
        <v>55</v>
      </c>
      <c r="BP67" s="13">
        <v>149</v>
      </c>
      <c r="BQ67" s="13">
        <v>39</v>
      </c>
      <c r="BR67" s="13">
        <v>81</v>
      </c>
      <c r="BS67" s="13">
        <v>322</v>
      </c>
      <c r="BT67" s="13">
        <v>209</v>
      </c>
      <c r="BU67" s="13">
        <v>380</v>
      </c>
      <c r="BV67" s="13">
        <v>34</v>
      </c>
      <c r="BW67" s="13">
        <v>163</v>
      </c>
      <c r="BX67" s="13">
        <v>273</v>
      </c>
      <c r="BY67" s="13">
        <v>134</v>
      </c>
      <c r="BZ67" s="13">
        <v>186</v>
      </c>
      <c r="CA67" s="13">
        <v>136</v>
      </c>
      <c r="CB67" s="13">
        <v>368</v>
      </c>
      <c r="CC67" s="13">
        <v>239</v>
      </c>
      <c r="CD67" s="13">
        <v>412</v>
      </c>
      <c r="CE67" s="13">
        <v>113</v>
      </c>
      <c r="CF67" s="13">
        <v>245</v>
      </c>
      <c r="CG67" s="13">
        <v>43</v>
      </c>
      <c r="CH67" s="13">
        <v>32</v>
      </c>
      <c r="CI67" s="13">
        <v>157</v>
      </c>
      <c r="CJ67" s="13">
        <v>180</v>
      </c>
      <c r="CK67" s="13">
        <v>451</v>
      </c>
      <c r="CL67" s="13">
        <v>147</v>
      </c>
      <c r="CM67" s="13">
        <v>216</v>
      </c>
      <c r="CN67" s="13">
        <v>101</v>
      </c>
      <c r="CO67" s="13">
        <v>87</v>
      </c>
      <c r="CP67" s="13">
        <v>44</v>
      </c>
      <c r="CQ67" s="13">
        <v>338</v>
      </c>
      <c r="CR67" s="13">
        <v>237</v>
      </c>
      <c r="CS67" s="13">
        <v>151</v>
      </c>
      <c r="CT67" s="13">
        <v>223</v>
      </c>
      <c r="CU67" s="13">
        <v>282</v>
      </c>
      <c r="CV67" s="14">
        <v>18294</v>
      </c>
      <c r="CW67" s="13">
        <v>32</v>
      </c>
      <c r="CX67" s="13">
        <v>0</v>
      </c>
      <c r="CY67" s="13">
        <v>0</v>
      </c>
      <c r="CZ67" s="13">
        <v>118</v>
      </c>
      <c r="DA67" s="13">
        <v>0</v>
      </c>
      <c r="DB67" s="14">
        <v>150</v>
      </c>
      <c r="DC67" s="14">
        <v>18444</v>
      </c>
      <c r="DD67" s="13">
        <v>0</v>
      </c>
      <c r="DE67" s="13">
        <v>0</v>
      </c>
      <c r="DF67" s="13">
        <v>0</v>
      </c>
      <c r="DG67" s="13">
        <v>0</v>
      </c>
      <c r="DH67" s="13">
        <v>0</v>
      </c>
      <c r="DI67" s="13">
        <v>0</v>
      </c>
      <c r="DJ67" s="14">
        <v>0</v>
      </c>
      <c r="DK67" s="13">
        <v>1</v>
      </c>
      <c r="DL67" s="13">
        <v>73</v>
      </c>
      <c r="DM67" s="13">
        <v>0</v>
      </c>
      <c r="DN67" s="14">
        <v>18518</v>
      </c>
    </row>
    <row r="68" spans="1:118" x14ac:dyDescent="0.2">
      <c r="A68" s="10"/>
      <c r="B68" s="11" t="s">
        <v>451</v>
      </c>
      <c r="C68" s="12" t="s">
        <v>452</v>
      </c>
      <c r="D68" s="13">
        <v>218</v>
      </c>
      <c r="E68" s="13">
        <v>80</v>
      </c>
      <c r="F68" s="13">
        <v>87</v>
      </c>
      <c r="G68" s="13">
        <v>120</v>
      </c>
      <c r="H68" s="13">
        <v>117</v>
      </c>
      <c r="I68" s="13">
        <v>146</v>
      </c>
      <c r="J68" s="13">
        <v>83</v>
      </c>
      <c r="K68" s="13">
        <v>56</v>
      </c>
      <c r="L68" s="13">
        <v>58</v>
      </c>
      <c r="M68" s="13">
        <v>59</v>
      </c>
      <c r="N68" s="13">
        <v>66</v>
      </c>
      <c r="O68" s="13">
        <v>122</v>
      </c>
      <c r="P68" s="13">
        <v>376</v>
      </c>
      <c r="Q68" s="13">
        <v>109</v>
      </c>
      <c r="R68" s="13">
        <v>23</v>
      </c>
      <c r="S68" s="13">
        <v>114</v>
      </c>
      <c r="T68" s="13">
        <v>280</v>
      </c>
      <c r="U68" s="13">
        <v>107</v>
      </c>
      <c r="V68" s="13">
        <v>82</v>
      </c>
      <c r="W68" s="13">
        <v>172</v>
      </c>
      <c r="X68" s="13">
        <v>122</v>
      </c>
      <c r="Y68" s="13">
        <v>17</v>
      </c>
      <c r="Z68" s="13">
        <v>162</v>
      </c>
      <c r="AA68" s="13">
        <v>133</v>
      </c>
      <c r="AB68" s="13">
        <v>203</v>
      </c>
      <c r="AC68" s="13">
        <v>132</v>
      </c>
      <c r="AD68" s="13">
        <v>138</v>
      </c>
      <c r="AE68" s="13">
        <v>109</v>
      </c>
      <c r="AF68" s="13">
        <v>40</v>
      </c>
      <c r="AG68" s="13">
        <v>58</v>
      </c>
      <c r="AH68" s="13">
        <v>125</v>
      </c>
      <c r="AI68" s="13">
        <v>524</v>
      </c>
      <c r="AJ68" s="13">
        <v>163</v>
      </c>
      <c r="AK68" s="13">
        <v>410</v>
      </c>
      <c r="AL68" s="13">
        <v>213</v>
      </c>
      <c r="AM68" s="13">
        <v>158</v>
      </c>
      <c r="AN68" s="13">
        <v>100</v>
      </c>
      <c r="AO68" s="13">
        <v>205</v>
      </c>
      <c r="AP68" s="13">
        <v>283</v>
      </c>
      <c r="AQ68" s="13">
        <v>64</v>
      </c>
      <c r="AR68" s="13">
        <v>163</v>
      </c>
      <c r="AS68" s="13">
        <v>123</v>
      </c>
      <c r="AT68" s="13">
        <v>136</v>
      </c>
      <c r="AU68" s="13">
        <v>50</v>
      </c>
      <c r="AV68" s="13">
        <v>428</v>
      </c>
      <c r="AW68" s="13">
        <v>230</v>
      </c>
      <c r="AX68" s="13">
        <v>55</v>
      </c>
      <c r="AY68" s="13">
        <v>140</v>
      </c>
      <c r="AZ68" s="13">
        <v>32</v>
      </c>
      <c r="BA68" s="13">
        <v>198</v>
      </c>
      <c r="BB68" s="13">
        <v>57</v>
      </c>
      <c r="BC68" s="13">
        <v>177</v>
      </c>
      <c r="BD68" s="13">
        <v>29</v>
      </c>
      <c r="BE68" s="13">
        <v>51</v>
      </c>
      <c r="BF68" s="13">
        <v>223</v>
      </c>
      <c r="BG68" s="13">
        <v>59</v>
      </c>
      <c r="BH68" s="13">
        <v>198</v>
      </c>
      <c r="BI68" s="13">
        <v>329</v>
      </c>
      <c r="BJ68" s="13">
        <v>42</v>
      </c>
      <c r="BK68" s="13">
        <v>311</v>
      </c>
      <c r="BL68" s="13">
        <v>161</v>
      </c>
      <c r="BM68" s="13">
        <v>85</v>
      </c>
      <c r="BN68" s="13">
        <v>251</v>
      </c>
      <c r="BO68" s="13">
        <v>201</v>
      </c>
      <c r="BP68" s="13">
        <v>238</v>
      </c>
      <c r="BQ68" s="13">
        <v>100</v>
      </c>
      <c r="BR68" s="13">
        <v>106</v>
      </c>
      <c r="BS68" s="13">
        <v>325</v>
      </c>
      <c r="BT68" s="13">
        <v>177</v>
      </c>
      <c r="BU68" s="13">
        <v>317</v>
      </c>
      <c r="BV68" s="13">
        <v>62</v>
      </c>
      <c r="BW68" s="13">
        <v>181</v>
      </c>
      <c r="BX68" s="13">
        <v>145</v>
      </c>
      <c r="BY68" s="13">
        <v>132</v>
      </c>
      <c r="BZ68" s="13">
        <v>254</v>
      </c>
      <c r="CA68" s="13">
        <v>205</v>
      </c>
      <c r="CB68" s="13">
        <v>307</v>
      </c>
      <c r="CC68" s="13">
        <v>252</v>
      </c>
      <c r="CD68" s="13">
        <v>283</v>
      </c>
      <c r="CE68" s="13">
        <v>116</v>
      </c>
      <c r="CF68" s="13">
        <v>169</v>
      </c>
      <c r="CG68" s="13">
        <v>146</v>
      </c>
      <c r="CH68" s="13">
        <v>145</v>
      </c>
      <c r="CI68" s="13">
        <v>317</v>
      </c>
      <c r="CJ68" s="13">
        <v>183</v>
      </c>
      <c r="CK68" s="13">
        <v>260</v>
      </c>
      <c r="CL68" s="13">
        <v>126</v>
      </c>
      <c r="CM68" s="13">
        <v>102</v>
      </c>
      <c r="CN68" s="13">
        <v>145</v>
      </c>
      <c r="CO68" s="13">
        <v>81</v>
      </c>
      <c r="CP68" s="13">
        <v>44</v>
      </c>
      <c r="CQ68" s="13">
        <v>207</v>
      </c>
      <c r="CR68" s="13">
        <v>151</v>
      </c>
      <c r="CS68" s="13">
        <v>59</v>
      </c>
      <c r="CT68" s="13">
        <v>98</v>
      </c>
      <c r="CU68" s="13">
        <v>144</v>
      </c>
      <c r="CV68" s="14">
        <v>15140</v>
      </c>
      <c r="CW68" s="13">
        <v>11</v>
      </c>
      <c r="CX68" s="13">
        <v>22</v>
      </c>
      <c r="CY68" s="13">
        <v>36</v>
      </c>
      <c r="CZ68" s="13">
        <v>153</v>
      </c>
      <c r="DA68" s="13">
        <v>10</v>
      </c>
      <c r="DB68" s="14">
        <v>232</v>
      </c>
      <c r="DC68" s="14">
        <v>15372</v>
      </c>
      <c r="DD68" s="13">
        <v>0</v>
      </c>
      <c r="DE68" s="13">
        <v>2</v>
      </c>
      <c r="DF68" s="13">
        <v>1</v>
      </c>
      <c r="DG68" s="13">
        <v>1</v>
      </c>
      <c r="DH68" s="13">
        <v>18</v>
      </c>
      <c r="DI68" s="13">
        <v>142</v>
      </c>
      <c r="DJ68" s="14">
        <v>164</v>
      </c>
      <c r="DK68" s="13">
        <v>5</v>
      </c>
      <c r="DL68" s="13">
        <v>599</v>
      </c>
      <c r="DM68" s="13">
        <v>0</v>
      </c>
      <c r="DN68" s="14">
        <v>16140</v>
      </c>
    </row>
    <row r="69" spans="1:118" x14ac:dyDescent="0.2">
      <c r="A69" s="10"/>
      <c r="B69" s="11" t="s">
        <v>453</v>
      </c>
      <c r="C69" s="12" t="s">
        <v>454</v>
      </c>
      <c r="D69" s="13">
        <v>5</v>
      </c>
      <c r="E69" s="13">
        <v>1</v>
      </c>
      <c r="F69" s="13">
        <v>0</v>
      </c>
      <c r="G69" s="13">
        <v>0</v>
      </c>
      <c r="H69" s="13">
        <v>0</v>
      </c>
      <c r="I69" s="13">
        <v>126</v>
      </c>
      <c r="J69" s="13">
        <v>0</v>
      </c>
      <c r="K69" s="13">
        <v>1</v>
      </c>
      <c r="L69" s="13">
        <v>60</v>
      </c>
      <c r="M69" s="13">
        <v>0</v>
      </c>
      <c r="N69" s="13">
        <v>16</v>
      </c>
      <c r="O69" s="13">
        <v>2</v>
      </c>
      <c r="P69" s="13">
        <v>14</v>
      </c>
      <c r="Q69" s="13">
        <v>0</v>
      </c>
      <c r="R69" s="13">
        <v>0</v>
      </c>
      <c r="S69" s="13">
        <v>1</v>
      </c>
      <c r="T69" s="13">
        <v>78</v>
      </c>
      <c r="U69" s="13">
        <v>0</v>
      </c>
      <c r="V69" s="13">
        <v>123</v>
      </c>
      <c r="W69" s="13">
        <v>0</v>
      </c>
      <c r="X69" s="13">
        <v>1</v>
      </c>
      <c r="Y69" s="13">
        <v>0</v>
      </c>
      <c r="Z69" s="13">
        <v>32</v>
      </c>
      <c r="AA69" s="13">
        <v>0</v>
      </c>
      <c r="AB69" s="13">
        <v>0</v>
      </c>
      <c r="AC69" s="13">
        <v>0</v>
      </c>
      <c r="AD69" s="13">
        <v>0</v>
      </c>
      <c r="AE69" s="13">
        <v>1</v>
      </c>
      <c r="AF69" s="13">
        <v>16</v>
      </c>
      <c r="AG69" s="13">
        <v>62</v>
      </c>
      <c r="AH69" s="13">
        <v>0</v>
      </c>
      <c r="AI69" s="13">
        <v>713</v>
      </c>
      <c r="AJ69" s="13">
        <v>192</v>
      </c>
      <c r="AK69" s="13">
        <v>1243</v>
      </c>
      <c r="AL69" s="13">
        <v>1</v>
      </c>
      <c r="AM69" s="13">
        <v>0</v>
      </c>
      <c r="AN69" s="13">
        <v>0</v>
      </c>
      <c r="AO69" s="13">
        <v>4</v>
      </c>
      <c r="AP69" s="13">
        <v>0</v>
      </c>
      <c r="AQ69" s="13">
        <v>0</v>
      </c>
      <c r="AR69" s="13">
        <v>3035</v>
      </c>
      <c r="AS69" s="13">
        <v>1</v>
      </c>
      <c r="AT69" s="13">
        <v>0</v>
      </c>
      <c r="AU69" s="13">
        <v>0</v>
      </c>
      <c r="AV69" s="13">
        <v>0</v>
      </c>
      <c r="AW69" s="13">
        <v>1</v>
      </c>
      <c r="AX69" s="13">
        <v>2</v>
      </c>
      <c r="AY69" s="13">
        <v>166</v>
      </c>
      <c r="AZ69" s="13">
        <v>9</v>
      </c>
      <c r="BA69" s="13">
        <v>0</v>
      </c>
      <c r="BB69" s="13">
        <v>0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0</v>
      </c>
      <c r="BI69" s="13">
        <v>0</v>
      </c>
      <c r="BJ69" s="13">
        <v>0</v>
      </c>
      <c r="BK69" s="13">
        <v>78</v>
      </c>
      <c r="BL69" s="13">
        <v>3</v>
      </c>
      <c r="BM69" s="13">
        <v>0</v>
      </c>
      <c r="BN69" s="13">
        <v>16</v>
      </c>
      <c r="BO69" s="13">
        <v>1</v>
      </c>
      <c r="BP69" s="13">
        <v>7730</v>
      </c>
      <c r="BQ69" s="13">
        <v>340</v>
      </c>
      <c r="BR69" s="13">
        <v>0</v>
      </c>
      <c r="BS69" s="13">
        <v>0</v>
      </c>
      <c r="BT69" s="13">
        <v>0</v>
      </c>
      <c r="BU69" s="13">
        <v>51</v>
      </c>
      <c r="BV69" s="13">
        <v>0</v>
      </c>
      <c r="BW69" s="13">
        <v>1</v>
      </c>
      <c r="BX69" s="13">
        <v>0</v>
      </c>
      <c r="BY69" s="13">
        <v>1</v>
      </c>
      <c r="BZ69" s="13">
        <v>0</v>
      </c>
      <c r="CA69" s="13">
        <v>224</v>
      </c>
      <c r="CB69" s="13">
        <v>0</v>
      </c>
      <c r="CC69" s="13">
        <v>2</v>
      </c>
      <c r="CD69" s="13">
        <v>17</v>
      </c>
      <c r="CE69" s="13">
        <v>0</v>
      </c>
      <c r="CF69" s="13">
        <v>0</v>
      </c>
      <c r="CG69" s="13">
        <v>71</v>
      </c>
      <c r="CH69" s="13">
        <v>11</v>
      </c>
      <c r="CI69" s="13">
        <v>5</v>
      </c>
      <c r="CJ69" s="13">
        <v>0</v>
      </c>
      <c r="CK69" s="13">
        <v>1</v>
      </c>
      <c r="CL69" s="13">
        <v>2</v>
      </c>
      <c r="CM69" s="13">
        <v>1</v>
      </c>
      <c r="CN69" s="13">
        <v>0</v>
      </c>
      <c r="CO69" s="13">
        <v>0</v>
      </c>
      <c r="CP69" s="13">
        <v>0</v>
      </c>
      <c r="CQ69" s="13">
        <v>40</v>
      </c>
      <c r="CR69" s="13">
        <v>131</v>
      </c>
      <c r="CS69" s="13">
        <v>8</v>
      </c>
      <c r="CT69" s="13">
        <v>18</v>
      </c>
      <c r="CU69" s="13">
        <v>8</v>
      </c>
      <c r="CV69" s="14">
        <v>14666</v>
      </c>
      <c r="CW69" s="13">
        <v>0</v>
      </c>
      <c r="CX69" s="13">
        <v>0</v>
      </c>
      <c r="CY69" s="13">
        <v>1</v>
      </c>
      <c r="CZ69" s="13">
        <v>103</v>
      </c>
      <c r="DA69" s="13">
        <v>0</v>
      </c>
      <c r="DB69" s="14">
        <v>104</v>
      </c>
      <c r="DC69" s="14">
        <v>14770</v>
      </c>
      <c r="DD69" s="13">
        <v>36</v>
      </c>
      <c r="DE69" s="13">
        <v>0</v>
      </c>
      <c r="DF69" s="13">
        <v>0</v>
      </c>
      <c r="DG69" s="13">
        <v>0</v>
      </c>
      <c r="DH69" s="13">
        <v>0</v>
      </c>
      <c r="DI69" s="13">
        <v>55</v>
      </c>
      <c r="DJ69" s="14">
        <v>91</v>
      </c>
      <c r="DK69" s="13">
        <v>1</v>
      </c>
      <c r="DL69" s="13">
        <v>3</v>
      </c>
      <c r="DM69" s="13">
        <v>0</v>
      </c>
      <c r="DN69" s="14">
        <v>14865</v>
      </c>
    </row>
    <row r="70" spans="1:118" x14ac:dyDescent="0.2">
      <c r="A70" s="10"/>
      <c r="B70" s="11" t="s">
        <v>455</v>
      </c>
      <c r="C70" s="12" t="s">
        <v>456</v>
      </c>
      <c r="D70" s="13">
        <v>110</v>
      </c>
      <c r="E70" s="13">
        <v>35</v>
      </c>
      <c r="F70" s="13">
        <v>30</v>
      </c>
      <c r="G70" s="13">
        <v>36</v>
      </c>
      <c r="H70" s="13">
        <v>165</v>
      </c>
      <c r="I70" s="13">
        <v>233</v>
      </c>
      <c r="J70" s="13">
        <v>25</v>
      </c>
      <c r="K70" s="13">
        <v>14</v>
      </c>
      <c r="L70" s="13">
        <v>64</v>
      </c>
      <c r="M70" s="13">
        <v>40</v>
      </c>
      <c r="N70" s="13">
        <v>77</v>
      </c>
      <c r="O70" s="13">
        <v>21</v>
      </c>
      <c r="P70" s="13">
        <v>448</v>
      </c>
      <c r="Q70" s="13">
        <v>49</v>
      </c>
      <c r="R70" s="13">
        <v>13</v>
      </c>
      <c r="S70" s="13">
        <v>34</v>
      </c>
      <c r="T70" s="13">
        <v>147</v>
      </c>
      <c r="U70" s="13">
        <v>40</v>
      </c>
      <c r="V70" s="13">
        <v>23</v>
      </c>
      <c r="W70" s="13">
        <v>83</v>
      </c>
      <c r="X70" s="13">
        <v>83</v>
      </c>
      <c r="Y70" s="13">
        <v>5</v>
      </c>
      <c r="Z70" s="13">
        <v>49</v>
      </c>
      <c r="AA70" s="13">
        <v>93</v>
      </c>
      <c r="AB70" s="13">
        <v>52</v>
      </c>
      <c r="AC70" s="13">
        <v>42</v>
      </c>
      <c r="AD70" s="13">
        <v>27</v>
      </c>
      <c r="AE70" s="13">
        <v>143</v>
      </c>
      <c r="AF70" s="13">
        <v>29</v>
      </c>
      <c r="AG70" s="13">
        <v>43</v>
      </c>
      <c r="AH70" s="13">
        <v>138</v>
      </c>
      <c r="AI70" s="13">
        <v>405</v>
      </c>
      <c r="AJ70" s="13">
        <v>13</v>
      </c>
      <c r="AK70" s="13">
        <v>485</v>
      </c>
      <c r="AL70" s="13">
        <v>141</v>
      </c>
      <c r="AM70" s="13">
        <v>129</v>
      </c>
      <c r="AN70" s="13">
        <v>34</v>
      </c>
      <c r="AO70" s="13">
        <v>85</v>
      </c>
      <c r="AP70" s="13">
        <v>274</v>
      </c>
      <c r="AQ70" s="13">
        <v>26</v>
      </c>
      <c r="AR70" s="13">
        <v>105</v>
      </c>
      <c r="AS70" s="13">
        <v>35</v>
      </c>
      <c r="AT70" s="13">
        <v>103</v>
      </c>
      <c r="AU70" s="13">
        <v>35</v>
      </c>
      <c r="AV70" s="13">
        <v>186</v>
      </c>
      <c r="AW70" s="13">
        <v>148</v>
      </c>
      <c r="AX70" s="13">
        <v>41</v>
      </c>
      <c r="AY70" s="13">
        <v>52</v>
      </c>
      <c r="AZ70" s="13">
        <v>9</v>
      </c>
      <c r="BA70" s="13">
        <v>102</v>
      </c>
      <c r="BB70" s="13">
        <v>31</v>
      </c>
      <c r="BC70" s="13">
        <v>45</v>
      </c>
      <c r="BD70" s="13">
        <v>7</v>
      </c>
      <c r="BE70" s="13">
        <v>70</v>
      </c>
      <c r="BF70" s="13">
        <v>125</v>
      </c>
      <c r="BG70" s="13">
        <v>7</v>
      </c>
      <c r="BH70" s="13">
        <v>238</v>
      </c>
      <c r="BI70" s="13">
        <v>95</v>
      </c>
      <c r="BJ70" s="13">
        <v>22</v>
      </c>
      <c r="BK70" s="13">
        <v>388</v>
      </c>
      <c r="BL70" s="13">
        <v>118</v>
      </c>
      <c r="BM70" s="13">
        <v>10</v>
      </c>
      <c r="BN70" s="13">
        <v>107</v>
      </c>
      <c r="BO70" s="13">
        <v>109</v>
      </c>
      <c r="BP70" s="13">
        <v>213</v>
      </c>
      <c r="BQ70" s="13">
        <v>124</v>
      </c>
      <c r="BR70" s="13">
        <v>59</v>
      </c>
      <c r="BS70" s="13">
        <v>230</v>
      </c>
      <c r="BT70" s="13">
        <v>78</v>
      </c>
      <c r="BU70" s="13">
        <v>445</v>
      </c>
      <c r="BV70" s="13">
        <v>17</v>
      </c>
      <c r="BW70" s="13">
        <v>59</v>
      </c>
      <c r="BX70" s="13">
        <v>51</v>
      </c>
      <c r="BY70" s="13">
        <v>256</v>
      </c>
      <c r="BZ70" s="13">
        <v>345</v>
      </c>
      <c r="CA70" s="13">
        <v>553</v>
      </c>
      <c r="CB70" s="13">
        <v>139</v>
      </c>
      <c r="CC70" s="13">
        <v>155</v>
      </c>
      <c r="CD70" s="13">
        <v>287</v>
      </c>
      <c r="CE70" s="13">
        <v>47</v>
      </c>
      <c r="CF70" s="13">
        <v>50</v>
      </c>
      <c r="CG70" s="13">
        <v>73</v>
      </c>
      <c r="CH70" s="13">
        <v>95</v>
      </c>
      <c r="CI70" s="13">
        <v>219</v>
      </c>
      <c r="CJ70" s="13">
        <v>111</v>
      </c>
      <c r="CK70" s="13">
        <v>57</v>
      </c>
      <c r="CL70" s="13">
        <v>54</v>
      </c>
      <c r="CM70" s="13">
        <v>34</v>
      </c>
      <c r="CN70" s="13">
        <v>29</v>
      </c>
      <c r="CO70" s="13">
        <v>42</v>
      </c>
      <c r="CP70" s="13">
        <v>22</v>
      </c>
      <c r="CQ70" s="13">
        <v>180</v>
      </c>
      <c r="CR70" s="13">
        <v>408</v>
      </c>
      <c r="CS70" s="13">
        <v>150</v>
      </c>
      <c r="CT70" s="13">
        <v>191</v>
      </c>
      <c r="CU70" s="13">
        <v>138</v>
      </c>
      <c r="CV70" s="14">
        <v>11082</v>
      </c>
      <c r="CW70" s="13">
        <v>45</v>
      </c>
      <c r="CX70" s="13">
        <v>4</v>
      </c>
      <c r="CY70" s="13">
        <v>4</v>
      </c>
      <c r="CZ70" s="13">
        <v>128</v>
      </c>
      <c r="DA70" s="13">
        <v>3</v>
      </c>
      <c r="DB70" s="14">
        <v>184</v>
      </c>
      <c r="DC70" s="14">
        <v>11266</v>
      </c>
      <c r="DD70" s="13">
        <v>0</v>
      </c>
      <c r="DE70" s="13">
        <v>0</v>
      </c>
      <c r="DF70" s="13">
        <v>2</v>
      </c>
      <c r="DG70" s="13">
        <v>0</v>
      </c>
      <c r="DH70" s="13">
        <v>0</v>
      </c>
      <c r="DI70" s="13">
        <v>2</v>
      </c>
      <c r="DJ70" s="14">
        <v>4</v>
      </c>
      <c r="DK70" s="13">
        <v>16</v>
      </c>
      <c r="DL70" s="13">
        <v>1380</v>
      </c>
      <c r="DM70" s="13">
        <v>0</v>
      </c>
      <c r="DN70" s="14">
        <v>12666</v>
      </c>
    </row>
    <row r="71" spans="1:118" x14ac:dyDescent="0.2">
      <c r="A71" s="10"/>
      <c r="B71" s="11" t="s">
        <v>457</v>
      </c>
      <c r="C71" s="12" t="s">
        <v>458</v>
      </c>
      <c r="D71" s="13">
        <v>122</v>
      </c>
      <c r="E71" s="13">
        <v>57</v>
      </c>
      <c r="F71" s="13">
        <v>50</v>
      </c>
      <c r="G71" s="13">
        <v>149</v>
      </c>
      <c r="H71" s="13">
        <v>100</v>
      </c>
      <c r="I71" s="13">
        <v>308</v>
      </c>
      <c r="J71" s="13">
        <v>46</v>
      </c>
      <c r="K71" s="13">
        <v>28</v>
      </c>
      <c r="L71" s="13">
        <v>25</v>
      </c>
      <c r="M71" s="13">
        <v>59</v>
      </c>
      <c r="N71" s="13">
        <v>204</v>
      </c>
      <c r="O71" s="13">
        <v>23</v>
      </c>
      <c r="P71" s="13">
        <v>510</v>
      </c>
      <c r="Q71" s="13">
        <v>52</v>
      </c>
      <c r="R71" s="13">
        <v>12</v>
      </c>
      <c r="S71" s="13">
        <v>37</v>
      </c>
      <c r="T71" s="13">
        <v>99</v>
      </c>
      <c r="U71" s="13">
        <v>75</v>
      </c>
      <c r="V71" s="13">
        <v>16</v>
      </c>
      <c r="W71" s="13">
        <v>53</v>
      </c>
      <c r="X71" s="13">
        <v>28</v>
      </c>
      <c r="Y71" s="13">
        <v>23</v>
      </c>
      <c r="Z71" s="13">
        <v>31</v>
      </c>
      <c r="AA71" s="13">
        <v>31</v>
      </c>
      <c r="AB71" s="13">
        <v>174</v>
      </c>
      <c r="AC71" s="13">
        <v>35</v>
      </c>
      <c r="AD71" s="13">
        <v>65</v>
      </c>
      <c r="AE71" s="13">
        <v>41</v>
      </c>
      <c r="AF71" s="13">
        <v>4</v>
      </c>
      <c r="AG71" s="13">
        <v>14</v>
      </c>
      <c r="AH71" s="13">
        <v>91</v>
      </c>
      <c r="AI71" s="13">
        <v>552</v>
      </c>
      <c r="AJ71" s="13">
        <v>87</v>
      </c>
      <c r="AK71" s="13">
        <v>295</v>
      </c>
      <c r="AL71" s="13">
        <v>245</v>
      </c>
      <c r="AM71" s="13">
        <v>176</v>
      </c>
      <c r="AN71" s="13">
        <v>44</v>
      </c>
      <c r="AO71" s="13">
        <v>91</v>
      </c>
      <c r="AP71" s="13">
        <v>241</v>
      </c>
      <c r="AQ71" s="13">
        <v>16</v>
      </c>
      <c r="AR71" s="13">
        <v>115</v>
      </c>
      <c r="AS71" s="13">
        <v>78</v>
      </c>
      <c r="AT71" s="13">
        <v>56</v>
      </c>
      <c r="AU71" s="13">
        <v>51</v>
      </c>
      <c r="AV71" s="13">
        <v>124</v>
      </c>
      <c r="AW71" s="13">
        <v>133</v>
      </c>
      <c r="AX71" s="13">
        <v>24</v>
      </c>
      <c r="AY71" s="13">
        <v>41</v>
      </c>
      <c r="AZ71" s="13">
        <v>25</v>
      </c>
      <c r="BA71" s="13">
        <v>90</v>
      </c>
      <c r="BB71" s="13">
        <v>48</v>
      </c>
      <c r="BC71" s="13">
        <v>122</v>
      </c>
      <c r="BD71" s="13">
        <v>27</v>
      </c>
      <c r="BE71" s="13">
        <v>127</v>
      </c>
      <c r="BF71" s="13">
        <v>123</v>
      </c>
      <c r="BG71" s="13">
        <v>9</v>
      </c>
      <c r="BH71" s="13">
        <v>93</v>
      </c>
      <c r="BI71" s="13">
        <v>120</v>
      </c>
      <c r="BJ71" s="13">
        <v>27</v>
      </c>
      <c r="BK71" s="13">
        <v>152</v>
      </c>
      <c r="BL71" s="13">
        <v>106</v>
      </c>
      <c r="BM71" s="13">
        <v>36</v>
      </c>
      <c r="BN71" s="13">
        <v>50</v>
      </c>
      <c r="BO71" s="13">
        <v>213</v>
      </c>
      <c r="BP71" s="13">
        <v>109</v>
      </c>
      <c r="BQ71" s="13">
        <v>70</v>
      </c>
      <c r="BR71" s="13">
        <v>147</v>
      </c>
      <c r="BS71" s="13">
        <v>112</v>
      </c>
      <c r="BT71" s="13">
        <v>129</v>
      </c>
      <c r="BU71" s="13">
        <v>219</v>
      </c>
      <c r="BV71" s="13">
        <v>19</v>
      </c>
      <c r="BW71" s="13">
        <v>27</v>
      </c>
      <c r="BX71" s="13">
        <v>39</v>
      </c>
      <c r="BY71" s="13">
        <v>117</v>
      </c>
      <c r="BZ71" s="13">
        <v>110</v>
      </c>
      <c r="CA71" s="13">
        <v>289</v>
      </c>
      <c r="CB71" s="13">
        <v>77</v>
      </c>
      <c r="CC71" s="13">
        <v>189</v>
      </c>
      <c r="CD71" s="13">
        <v>266</v>
      </c>
      <c r="CE71" s="13">
        <v>45</v>
      </c>
      <c r="CF71" s="13">
        <v>84</v>
      </c>
      <c r="CG71" s="13">
        <v>110</v>
      </c>
      <c r="CH71" s="13">
        <v>42</v>
      </c>
      <c r="CI71" s="13">
        <v>351</v>
      </c>
      <c r="CJ71" s="13">
        <v>118</v>
      </c>
      <c r="CK71" s="13">
        <v>122</v>
      </c>
      <c r="CL71" s="13">
        <v>76</v>
      </c>
      <c r="CM71" s="13">
        <v>56</v>
      </c>
      <c r="CN71" s="13">
        <v>39</v>
      </c>
      <c r="CO71" s="13">
        <v>41</v>
      </c>
      <c r="CP71" s="13">
        <v>22</v>
      </c>
      <c r="CQ71" s="13">
        <v>201</v>
      </c>
      <c r="CR71" s="13">
        <v>236</v>
      </c>
      <c r="CS71" s="13">
        <v>66</v>
      </c>
      <c r="CT71" s="13">
        <v>136</v>
      </c>
      <c r="CU71" s="13">
        <v>103</v>
      </c>
      <c r="CV71" s="14">
        <v>10066</v>
      </c>
      <c r="CW71" s="13">
        <v>4</v>
      </c>
      <c r="CX71" s="13">
        <v>1</v>
      </c>
      <c r="CY71" s="13">
        <v>1</v>
      </c>
      <c r="CZ71" s="13">
        <v>31</v>
      </c>
      <c r="DA71" s="13">
        <v>1</v>
      </c>
      <c r="DB71" s="14">
        <v>38</v>
      </c>
      <c r="DC71" s="14">
        <v>10104</v>
      </c>
      <c r="DD71" s="13">
        <v>1</v>
      </c>
      <c r="DE71" s="13">
        <v>0</v>
      </c>
      <c r="DF71" s="13">
        <v>1</v>
      </c>
      <c r="DG71" s="13">
        <v>0</v>
      </c>
      <c r="DH71" s="13">
        <v>3</v>
      </c>
      <c r="DI71" s="13">
        <v>1</v>
      </c>
      <c r="DJ71" s="14">
        <v>6</v>
      </c>
      <c r="DK71" s="13">
        <v>11</v>
      </c>
      <c r="DL71" s="13">
        <v>1646</v>
      </c>
      <c r="DM71" s="13">
        <v>0</v>
      </c>
      <c r="DN71" s="14">
        <v>11767</v>
      </c>
    </row>
    <row r="72" spans="1:118" x14ac:dyDescent="0.2">
      <c r="A72" s="10"/>
      <c r="B72" s="11" t="s">
        <v>459</v>
      </c>
      <c r="C72" s="12" t="s">
        <v>460</v>
      </c>
      <c r="D72" s="13">
        <v>43</v>
      </c>
      <c r="E72" s="13">
        <v>0</v>
      </c>
      <c r="F72" s="13">
        <v>9</v>
      </c>
      <c r="G72" s="13">
        <v>1</v>
      </c>
      <c r="H72" s="13">
        <v>1</v>
      </c>
      <c r="I72" s="13">
        <v>39</v>
      </c>
      <c r="J72" s="13">
        <v>6</v>
      </c>
      <c r="K72" s="13">
        <v>0</v>
      </c>
      <c r="L72" s="13">
        <v>110</v>
      </c>
      <c r="M72" s="13">
        <v>0</v>
      </c>
      <c r="N72" s="13">
        <v>1531</v>
      </c>
      <c r="O72" s="13">
        <v>123</v>
      </c>
      <c r="P72" s="13">
        <v>921</v>
      </c>
      <c r="Q72" s="13">
        <v>7</v>
      </c>
      <c r="R72" s="13">
        <v>0</v>
      </c>
      <c r="S72" s="13">
        <v>1</v>
      </c>
      <c r="T72" s="13">
        <v>2</v>
      </c>
      <c r="U72" s="13">
        <v>1</v>
      </c>
      <c r="V72" s="13">
        <v>0</v>
      </c>
      <c r="W72" s="13">
        <v>0</v>
      </c>
      <c r="X72" s="13">
        <v>1</v>
      </c>
      <c r="Y72" s="13">
        <v>0</v>
      </c>
      <c r="Z72" s="13">
        <v>2</v>
      </c>
      <c r="AA72" s="13">
        <v>2</v>
      </c>
      <c r="AB72" s="13">
        <v>13</v>
      </c>
      <c r="AC72" s="13">
        <v>0</v>
      </c>
      <c r="AD72" s="13">
        <v>1</v>
      </c>
      <c r="AE72" s="13">
        <v>0</v>
      </c>
      <c r="AF72" s="13">
        <v>0</v>
      </c>
      <c r="AG72" s="13">
        <v>0</v>
      </c>
      <c r="AH72" s="13">
        <v>23</v>
      </c>
      <c r="AI72" s="13">
        <v>1273</v>
      </c>
      <c r="AJ72" s="13">
        <v>4</v>
      </c>
      <c r="AK72" s="13">
        <v>199</v>
      </c>
      <c r="AL72" s="13">
        <v>329</v>
      </c>
      <c r="AM72" s="13">
        <v>1</v>
      </c>
      <c r="AN72" s="13">
        <v>0</v>
      </c>
      <c r="AO72" s="13">
        <v>0</v>
      </c>
      <c r="AP72" s="13">
        <v>2</v>
      </c>
      <c r="AQ72" s="13">
        <v>6</v>
      </c>
      <c r="AR72" s="13">
        <v>5</v>
      </c>
      <c r="AS72" s="13">
        <v>0</v>
      </c>
      <c r="AT72" s="13">
        <v>21</v>
      </c>
      <c r="AU72" s="13">
        <v>0</v>
      </c>
      <c r="AV72" s="13">
        <v>523</v>
      </c>
      <c r="AW72" s="13">
        <v>1</v>
      </c>
      <c r="AX72" s="13">
        <v>192</v>
      </c>
      <c r="AY72" s="13">
        <v>742</v>
      </c>
      <c r="AZ72" s="13">
        <v>0</v>
      </c>
      <c r="BA72" s="13">
        <v>3</v>
      </c>
      <c r="BB72" s="13">
        <v>80</v>
      </c>
      <c r="BC72" s="13">
        <v>1</v>
      </c>
      <c r="BD72" s="13">
        <v>0</v>
      </c>
      <c r="BE72" s="13">
        <v>0</v>
      </c>
      <c r="BF72" s="13">
        <v>0</v>
      </c>
      <c r="BG72" s="13">
        <v>0</v>
      </c>
      <c r="BH72" s="13">
        <v>0</v>
      </c>
      <c r="BI72" s="13">
        <v>0</v>
      </c>
      <c r="BJ72" s="13">
        <v>0</v>
      </c>
      <c r="BK72" s="13">
        <v>0</v>
      </c>
      <c r="BL72" s="13">
        <v>0</v>
      </c>
      <c r="BM72" s="13">
        <v>0</v>
      </c>
      <c r="BN72" s="13">
        <v>0</v>
      </c>
      <c r="BO72" s="13">
        <v>6</v>
      </c>
      <c r="BP72" s="13">
        <v>13</v>
      </c>
      <c r="BQ72" s="13">
        <v>8</v>
      </c>
      <c r="BR72" s="13">
        <v>1887</v>
      </c>
      <c r="BS72" s="13">
        <v>0</v>
      </c>
      <c r="BT72" s="13">
        <v>0</v>
      </c>
      <c r="BU72" s="13">
        <v>961</v>
      </c>
      <c r="BV72" s="13">
        <v>0</v>
      </c>
      <c r="BW72" s="13">
        <v>1</v>
      </c>
      <c r="BX72" s="13">
        <v>0</v>
      </c>
      <c r="BY72" s="13">
        <v>1</v>
      </c>
      <c r="BZ72" s="13">
        <v>2</v>
      </c>
      <c r="CA72" s="13">
        <v>37</v>
      </c>
      <c r="CB72" s="13">
        <v>11</v>
      </c>
      <c r="CC72" s="13">
        <v>6</v>
      </c>
      <c r="CD72" s="13">
        <v>9</v>
      </c>
      <c r="CE72" s="13">
        <v>0</v>
      </c>
      <c r="CF72" s="13">
        <v>0</v>
      </c>
      <c r="CG72" s="13">
        <v>1099</v>
      </c>
      <c r="CH72" s="13">
        <v>52</v>
      </c>
      <c r="CI72" s="13">
        <v>68</v>
      </c>
      <c r="CJ72" s="13">
        <v>868</v>
      </c>
      <c r="CK72" s="13">
        <v>2</v>
      </c>
      <c r="CL72" s="13">
        <v>1</v>
      </c>
      <c r="CM72" s="13">
        <v>0</v>
      </c>
      <c r="CN72" s="13">
        <v>0</v>
      </c>
      <c r="CO72" s="13">
        <v>0</v>
      </c>
      <c r="CP72" s="13">
        <v>0</v>
      </c>
      <c r="CQ72" s="13">
        <v>68</v>
      </c>
      <c r="CR72" s="13">
        <v>119</v>
      </c>
      <c r="CS72" s="13">
        <v>5</v>
      </c>
      <c r="CT72" s="13">
        <v>52</v>
      </c>
      <c r="CU72" s="13">
        <v>3</v>
      </c>
      <c r="CV72" s="14">
        <v>11498</v>
      </c>
      <c r="CW72" s="13">
        <v>0</v>
      </c>
      <c r="CX72" s="13">
        <v>0</v>
      </c>
      <c r="CY72" s="13">
        <v>0</v>
      </c>
      <c r="CZ72" s="13">
        <v>0</v>
      </c>
      <c r="DA72" s="13">
        <v>0</v>
      </c>
      <c r="DB72" s="14">
        <v>0</v>
      </c>
      <c r="DC72" s="14">
        <v>11498</v>
      </c>
      <c r="DD72" s="13">
        <v>0</v>
      </c>
      <c r="DE72" s="13">
        <v>0</v>
      </c>
      <c r="DF72" s="13">
        <v>0</v>
      </c>
      <c r="DG72" s="13">
        <v>0</v>
      </c>
      <c r="DH72" s="13">
        <v>0</v>
      </c>
      <c r="DI72" s="13">
        <v>6</v>
      </c>
      <c r="DJ72" s="14">
        <v>6</v>
      </c>
      <c r="DK72" s="13">
        <v>0</v>
      </c>
      <c r="DL72" s="13">
        <v>3</v>
      </c>
      <c r="DM72" s="13">
        <v>0</v>
      </c>
      <c r="DN72" s="14">
        <v>11507</v>
      </c>
    </row>
    <row r="73" spans="1:118" x14ac:dyDescent="0.2">
      <c r="A73" s="10"/>
      <c r="B73" s="11" t="s">
        <v>461</v>
      </c>
      <c r="C73" s="12" t="s">
        <v>462</v>
      </c>
      <c r="D73" s="13">
        <v>36</v>
      </c>
      <c r="E73" s="13">
        <v>16</v>
      </c>
      <c r="F73" s="13">
        <v>30</v>
      </c>
      <c r="G73" s="13">
        <v>3</v>
      </c>
      <c r="H73" s="13">
        <v>3</v>
      </c>
      <c r="I73" s="13">
        <v>78</v>
      </c>
      <c r="J73" s="13">
        <v>15</v>
      </c>
      <c r="K73" s="13">
        <v>9</v>
      </c>
      <c r="L73" s="13">
        <v>5</v>
      </c>
      <c r="M73" s="13">
        <v>104</v>
      </c>
      <c r="N73" s="13">
        <v>298</v>
      </c>
      <c r="O73" s="13">
        <v>16</v>
      </c>
      <c r="P73" s="13">
        <v>138</v>
      </c>
      <c r="Q73" s="13">
        <v>173</v>
      </c>
      <c r="R73" s="13">
        <v>1</v>
      </c>
      <c r="S73" s="13">
        <v>68</v>
      </c>
      <c r="T73" s="13">
        <v>195</v>
      </c>
      <c r="U73" s="13">
        <v>64</v>
      </c>
      <c r="V73" s="13">
        <v>19</v>
      </c>
      <c r="W73" s="13">
        <v>43</v>
      </c>
      <c r="X73" s="13">
        <v>55</v>
      </c>
      <c r="Y73" s="13">
        <v>5</v>
      </c>
      <c r="Z73" s="13">
        <v>43</v>
      </c>
      <c r="AA73" s="13">
        <v>23</v>
      </c>
      <c r="AB73" s="13">
        <v>28</v>
      </c>
      <c r="AC73" s="13">
        <v>39</v>
      </c>
      <c r="AD73" s="13">
        <v>111</v>
      </c>
      <c r="AE73" s="13">
        <v>69</v>
      </c>
      <c r="AF73" s="13">
        <v>4</v>
      </c>
      <c r="AG73" s="13">
        <v>5</v>
      </c>
      <c r="AH73" s="13">
        <v>46</v>
      </c>
      <c r="AI73" s="13">
        <v>161</v>
      </c>
      <c r="AJ73" s="13">
        <v>4</v>
      </c>
      <c r="AK73" s="13">
        <v>1336</v>
      </c>
      <c r="AL73" s="13">
        <v>260</v>
      </c>
      <c r="AM73" s="13">
        <v>520</v>
      </c>
      <c r="AN73" s="13">
        <v>8</v>
      </c>
      <c r="AO73" s="13">
        <v>35</v>
      </c>
      <c r="AP73" s="13">
        <v>104</v>
      </c>
      <c r="AQ73" s="13">
        <v>11</v>
      </c>
      <c r="AR73" s="13">
        <v>23</v>
      </c>
      <c r="AS73" s="13">
        <v>51</v>
      </c>
      <c r="AT73" s="13">
        <v>132</v>
      </c>
      <c r="AU73" s="13">
        <v>83</v>
      </c>
      <c r="AV73" s="13">
        <v>729</v>
      </c>
      <c r="AW73" s="13">
        <v>35</v>
      </c>
      <c r="AX73" s="13">
        <v>63</v>
      </c>
      <c r="AY73" s="13">
        <v>92</v>
      </c>
      <c r="AZ73" s="13">
        <v>2</v>
      </c>
      <c r="BA73" s="13">
        <v>28</v>
      </c>
      <c r="BB73" s="13">
        <v>41</v>
      </c>
      <c r="BC73" s="13">
        <v>42</v>
      </c>
      <c r="BD73" s="13">
        <v>6</v>
      </c>
      <c r="BE73" s="13">
        <v>5</v>
      </c>
      <c r="BF73" s="13">
        <v>122</v>
      </c>
      <c r="BG73" s="13">
        <v>48</v>
      </c>
      <c r="BH73" s="13">
        <v>50</v>
      </c>
      <c r="BI73" s="13">
        <v>98</v>
      </c>
      <c r="BJ73" s="13">
        <v>39</v>
      </c>
      <c r="BK73" s="13">
        <v>348</v>
      </c>
      <c r="BL73" s="13">
        <v>76</v>
      </c>
      <c r="BM73" s="13">
        <v>19</v>
      </c>
      <c r="BN73" s="13">
        <v>122</v>
      </c>
      <c r="BO73" s="13">
        <v>103</v>
      </c>
      <c r="BP73" s="13">
        <v>137</v>
      </c>
      <c r="BQ73" s="13">
        <v>22</v>
      </c>
      <c r="BR73" s="13">
        <v>48</v>
      </c>
      <c r="BS73" s="13">
        <v>65</v>
      </c>
      <c r="BT73" s="13">
        <v>48</v>
      </c>
      <c r="BU73" s="13">
        <v>241</v>
      </c>
      <c r="BV73" s="13">
        <v>12</v>
      </c>
      <c r="BW73" s="13">
        <v>52</v>
      </c>
      <c r="BX73" s="13">
        <v>7</v>
      </c>
      <c r="BY73" s="13">
        <v>58</v>
      </c>
      <c r="BZ73" s="13">
        <v>37</v>
      </c>
      <c r="CA73" s="13">
        <v>85</v>
      </c>
      <c r="CB73" s="13">
        <v>156</v>
      </c>
      <c r="CC73" s="13">
        <v>635</v>
      </c>
      <c r="CD73" s="13">
        <v>124</v>
      </c>
      <c r="CE73" s="13">
        <v>19</v>
      </c>
      <c r="CF73" s="13">
        <v>88</v>
      </c>
      <c r="CG73" s="13">
        <v>248</v>
      </c>
      <c r="CH73" s="13">
        <v>19</v>
      </c>
      <c r="CI73" s="13">
        <v>640</v>
      </c>
      <c r="CJ73" s="13">
        <v>34</v>
      </c>
      <c r="CK73" s="13">
        <v>28</v>
      </c>
      <c r="CL73" s="13">
        <v>29</v>
      </c>
      <c r="CM73" s="13">
        <v>232</v>
      </c>
      <c r="CN73" s="13">
        <v>20</v>
      </c>
      <c r="CO73" s="13">
        <v>55</v>
      </c>
      <c r="CP73" s="13">
        <v>4</v>
      </c>
      <c r="CQ73" s="13">
        <v>65</v>
      </c>
      <c r="CR73" s="13">
        <v>99</v>
      </c>
      <c r="CS73" s="13">
        <v>474</v>
      </c>
      <c r="CT73" s="13">
        <v>77</v>
      </c>
      <c r="CU73" s="13">
        <v>103</v>
      </c>
      <c r="CV73" s="14">
        <v>10499</v>
      </c>
      <c r="CW73" s="13">
        <v>4</v>
      </c>
      <c r="CX73" s="13">
        <v>19</v>
      </c>
      <c r="CY73" s="13">
        <v>0</v>
      </c>
      <c r="CZ73" s="13">
        <v>219</v>
      </c>
      <c r="DA73" s="13">
        <v>1</v>
      </c>
      <c r="DB73" s="14">
        <v>243</v>
      </c>
      <c r="DC73" s="14">
        <v>10742</v>
      </c>
      <c r="DD73" s="13">
        <v>0</v>
      </c>
      <c r="DE73" s="13">
        <v>0</v>
      </c>
      <c r="DF73" s="13">
        <v>0</v>
      </c>
      <c r="DG73" s="13">
        <v>0</v>
      </c>
      <c r="DH73" s="13">
        <v>11</v>
      </c>
      <c r="DI73" s="13">
        <v>102</v>
      </c>
      <c r="DJ73" s="14">
        <v>113</v>
      </c>
      <c r="DK73" s="13">
        <v>5</v>
      </c>
      <c r="DL73" s="13">
        <v>1</v>
      </c>
      <c r="DM73" s="13">
        <v>0</v>
      </c>
      <c r="DN73" s="14">
        <v>10861</v>
      </c>
    </row>
    <row r="74" spans="1:118" x14ac:dyDescent="0.2">
      <c r="A74" s="10"/>
      <c r="B74" s="11" t="s">
        <v>463</v>
      </c>
      <c r="C74" s="12" t="s">
        <v>464</v>
      </c>
      <c r="D74" s="13">
        <v>229</v>
      </c>
      <c r="E74" s="13">
        <v>52</v>
      </c>
      <c r="F74" s="13">
        <v>56</v>
      </c>
      <c r="G74" s="13">
        <v>31</v>
      </c>
      <c r="H74" s="13">
        <v>63</v>
      </c>
      <c r="I74" s="13">
        <v>227</v>
      </c>
      <c r="J74" s="13">
        <v>186</v>
      </c>
      <c r="K74" s="13">
        <v>10</v>
      </c>
      <c r="L74" s="13">
        <v>11</v>
      </c>
      <c r="M74" s="13">
        <v>0</v>
      </c>
      <c r="N74" s="13">
        <v>66</v>
      </c>
      <c r="O74" s="13">
        <v>66</v>
      </c>
      <c r="P74" s="13">
        <v>233</v>
      </c>
      <c r="Q74" s="13">
        <v>167</v>
      </c>
      <c r="R74" s="13">
        <v>14</v>
      </c>
      <c r="S74" s="13">
        <v>41</v>
      </c>
      <c r="T74" s="13">
        <v>126</v>
      </c>
      <c r="U74" s="13">
        <v>5</v>
      </c>
      <c r="V74" s="13">
        <v>26</v>
      </c>
      <c r="W74" s="13">
        <v>232</v>
      </c>
      <c r="X74" s="13">
        <v>109</v>
      </c>
      <c r="Y74" s="13">
        <v>5</v>
      </c>
      <c r="Z74" s="13">
        <v>95</v>
      </c>
      <c r="AA74" s="13">
        <v>174</v>
      </c>
      <c r="AB74" s="13">
        <v>155</v>
      </c>
      <c r="AC74" s="13">
        <v>31</v>
      </c>
      <c r="AD74" s="13">
        <v>32</v>
      </c>
      <c r="AE74" s="13">
        <v>160</v>
      </c>
      <c r="AF74" s="13">
        <v>0</v>
      </c>
      <c r="AG74" s="13">
        <v>0</v>
      </c>
      <c r="AH74" s="13">
        <v>18</v>
      </c>
      <c r="AI74" s="13">
        <v>226</v>
      </c>
      <c r="AJ74" s="13">
        <v>33</v>
      </c>
      <c r="AK74" s="13">
        <v>341</v>
      </c>
      <c r="AL74" s="13">
        <v>79</v>
      </c>
      <c r="AM74" s="13">
        <v>102</v>
      </c>
      <c r="AN74" s="13">
        <v>17</v>
      </c>
      <c r="AO74" s="13">
        <v>50</v>
      </c>
      <c r="AP74" s="13">
        <v>527</v>
      </c>
      <c r="AQ74" s="13">
        <v>102</v>
      </c>
      <c r="AR74" s="13">
        <v>223</v>
      </c>
      <c r="AS74" s="13">
        <v>0</v>
      </c>
      <c r="AT74" s="13">
        <v>240</v>
      </c>
      <c r="AU74" s="13">
        <v>91</v>
      </c>
      <c r="AV74" s="13">
        <v>92</v>
      </c>
      <c r="AW74" s="13">
        <v>105</v>
      </c>
      <c r="AX74" s="13">
        <v>85</v>
      </c>
      <c r="AY74" s="13">
        <v>186</v>
      </c>
      <c r="AZ74" s="13">
        <v>18</v>
      </c>
      <c r="BA74" s="13">
        <v>5</v>
      </c>
      <c r="BB74" s="13">
        <v>54</v>
      </c>
      <c r="BC74" s="13">
        <v>87</v>
      </c>
      <c r="BD74" s="13">
        <v>0</v>
      </c>
      <c r="BE74" s="13">
        <v>15</v>
      </c>
      <c r="BF74" s="13">
        <v>142</v>
      </c>
      <c r="BG74" s="13">
        <v>9</v>
      </c>
      <c r="BH74" s="13">
        <v>64</v>
      </c>
      <c r="BI74" s="13">
        <v>110</v>
      </c>
      <c r="BJ74" s="13">
        <v>41</v>
      </c>
      <c r="BK74" s="13">
        <v>276</v>
      </c>
      <c r="BL74" s="13">
        <v>69</v>
      </c>
      <c r="BM74" s="13">
        <v>31</v>
      </c>
      <c r="BN74" s="13">
        <v>146</v>
      </c>
      <c r="BO74" s="13">
        <v>92</v>
      </c>
      <c r="BP74" s="13">
        <v>60</v>
      </c>
      <c r="BQ74" s="13">
        <v>24</v>
      </c>
      <c r="BR74" s="13">
        <v>62</v>
      </c>
      <c r="BS74" s="13">
        <v>85</v>
      </c>
      <c r="BT74" s="13">
        <v>216</v>
      </c>
      <c r="BU74" s="13">
        <v>255</v>
      </c>
      <c r="BV74" s="13">
        <v>46</v>
      </c>
      <c r="BW74" s="13">
        <v>44</v>
      </c>
      <c r="BX74" s="13">
        <v>70</v>
      </c>
      <c r="BY74" s="13">
        <v>296</v>
      </c>
      <c r="BZ74" s="13">
        <v>170</v>
      </c>
      <c r="CA74" s="13">
        <v>114</v>
      </c>
      <c r="CB74" s="13">
        <v>78</v>
      </c>
      <c r="CC74" s="13">
        <v>288</v>
      </c>
      <c r="CD74" s="13">
        <v>159</v>
      </c>
      <c r="CE74" s="13">
        <v>64</v>
      </c>
      <c r="CF74" s="13">
        <v>5</v>
      </c>
      <c r="CG74" s="13">
        <v>90</v>
      </c>
      <c r="CH74" s="13">
        <v>23</v>
      </c>
      <c r="CI74" s="13">
        <v>105</v>
      </c>
      <c r="CJ74" s="13">
        <v>120</v>
      </c>
      <c r="CK74" s="13">
        <v>6</v>
      </c>
      <c r="CL74" s="13">
        <v>89</v>
      </c>
      <c r="CM74" s="13">
        <v>58</v>
      </c>
      <c r="CN74" s="13">
        <v>111</v>
      </c>
      <c r="CO74" s="13">
        <v>47</v>
      </c>
      <c r="CP74" s="13">
        <v>8</v>
      </c>
      <c r="CQ74" s="13">
        <v>232</v>
      </c>
      <c r="CR74" s="13">
        <v>95</v>
      </c>
      <c r="CS74" s="13">
        <v>23</v>
      </c>
      <c r="CT74" s="13">
        <v>55</v>
      </c>
      <c r="CU74" s="13">
        <v>46</v>
      </c>
      <c r="CV74" s="14">
        <v>9422</v>
      </c>
      <c r="CW74" s="13">
        <v>0</v>
      </c>
      <c r="CX74" s="13">
        <v>0</v>
      </c>
      <c r="CY74" s="13">
        <v>0</v>
      </c>
      <c r="CZ74" s="13">
        <v>0</v>
      </c>
      <c r="DA74" s="13">
        <v>0</v>
      </c>
      <c r="DB74" s="14">
        <v>0</v>
      </c>
      <c r="DC74" s="14">
        <v>9422</v>
      </c>
      <c r="DD74" s="13">
        <v>0</v>
      </c>
      <c r="DE74" s="13">
        <v>0</v>
      </c>
      <c r="DF74" s="13">
        <v>0</v>
      </c>
      <c r="DG74" s="13">
        <v>0</v>
      </c>
      <c r="DH74" s="13">
        <v>0</v>
      </c>
      <c r="DI74" s="13">
        <v>177</v>
      </c>
      <c r="DJ74" s="14">
        <v>177</v>
      </c>
      <c r="DK74" s="13">
        <v>0</v>
      </c>
      <c r="DL74" s="13">
        <v>170</v>
      </c>
      <c r="DM74" s="13">
        <v>0</v>
      </c>
      <c r="DN74" s="14">
        <v>9769</v>
      </c>
    </row>
    <row r="75" spans="1:118" x14ac:dyDescent="0.2">
      <c r="A75" s="10"/>
      <c r="B75" s="11" t="s">
        <v>465</v>
      </c>
      <c r="C75" s="12" t="s">
        <v>466</v>
      </c>
      <c r="D75" s="13">
        <v>104</v>
      </c>
      <c r="E75" s="13">
        <v>132</v>
      </c>
      <c r="F75" s="13">
        <v>70</v>
      </c>
      <c r="G75" s="13">
        <v>27</v>
      </c>
      <c r="H75" s="13">
        <v>18</v>
      </c>
      <c r="I75" s="13">
        <v>162</v>
      </c>
      <c r="J75" s="13">
        <v>90</v>
      </c>
      <c r="K75" s="13">
        <v>42</v>
      </c>
      <c r="L75" s="13">
        <v>44</v>
      </c>
      <c r="M75" s="13">
        <v>26</v>
      </c>
      <c r="N75" s="13">
        <v>48</v>
      </c>
      <c r="O75" s="13">
        <v>41</v>
      </c>
      <c r="P75" s="13">
        <v>481</v>
      </c>
      <c r="Q75" s="13">
        <v>74</v>
      </c>
      <c r="R75" s="13">
        <v>8</v>
      </c>
      <c r="S75" s="13">
        <v>74</v>
      </c>
      <c r="T75" s="13">
        <v>222</v>
      </c>
      <c r="U75" s="13">
        <v>88</v>
      </c>
      <c r="V75" s="13">
        <v>50</v>
      </c>
      <c r="W75" s="13">
        <v>94</v>
      </c>
      <c r="X75" s="13">
        <v>147</v>
      </c>
      <c r="Y75" s="13">
        <v>59</v>
      </c>
      <c r="Z75" s="13">
        <v>92</v>
      </c>
      <c r="AA75" s="13">
        <v>40</v>
      </c>
      <c r="AB75" s="13">
        <v>34</v>
      </c>
      <c r="AC75" s="13">
        <v>68</v>
      </c>
      <c r="AD75" s="13">
        <v>164</v>
      </c>
      <c r="AE75" s="13">
        <v>150</v>
      </c>
      <c r="AF75" s="13">
        <v>8</v>
      </c>
      <c r="AG75" s="13">
        <v>47</v>
      </c>
      <c r="AH75" s="13">
        <v>66</v>
      </c>
      <c r="AI75" s="13">
        <v>130</v>
      </c>
      <c r="AJ75" s="13">
        <v>53</v>
      </c>
      <c r="AK75" s="13">
        <v>247</v>
      </c>
      <c r="AL75" s="13">
        <v>238</v>
      </c>
      <c r="AM75" s="13">
        <v>158</v>
      </c>
      <c r="AN75" s="13">
        <v>105</v>
      </c>
      <c r="AO75" s="13">
        <v>150</v>
      </c>
      <c r="AP75" s="13">
        <v>102</v>
      </c>
      <c r="AQ75" s="13">
        <v>16</v>
      </c>
      <c r="AR75" s="13">
        <v>293</v>
      </c>
      <c r="AS75" s="13">
        <v>105</v>
      </c>
      <c r="AT75" s="13">
        <v>59</v>
      </c>
      <c r="AU75" s="13">
        <v>28</v>
      </c>
      <c r="AV75" s="13">
        <v>363</v>
      </c>
      <c r="AW75" s="13">
        <v>127</v>
      </c>
      <c r="AX75" s="13">
        <v>27</v>
      </c>
      <c r="AY75" s="13">
        <v>44</v>
      </c>
      <c r="AZ75" s="13">
        <v>4</v>
      </c>
      <c r="BA75" s="13">
        <v>87</v>
      </c>
      <c r="BB75" s="13">
        <v>49</v>
      </c>
      <c r="BC75" s="13">
        <v>59</v>
      </c>
      <c r="BD75" s="13">
        <v>17</v>
      </c>
      <c r="BE75" s="13">
        <v>41</v>
      </c>
      <c r="BF75" s="13">
        <v>96</v>
      </c>
      <c r="BG75" s="13">
        <v>36</v>
      </c>
      <c r="BH75" s="13">
        <v>236</v>
      </c>
      <c r="BI75" s="13">
        <v>92</v>
      </c>
      <c r="BJ75" s="13">
        <v>76</v>
      </c>
      <c r="BK75" s="13">
        <v>461</v>
      </c>
      <c r="BL75" s="13">
        <v>104</v>
      </c>
      <c r="BM75" s="13">
        <v>47</v>
      </c>
      <c r="BN75" s="13">
        <v>507</v>
      </c>
      <c r="BO75" s="13">
        <v>89</v>
      </c>
      <c r="BP75" s="13">
        <v>82</v>
      </c>
      <c r="BQ75" s="13">
        <v>23</v>
      </c>
      <c r="BR75" s="13">
        <v>129</v>
      </c>
      <c r="BS75" s="13">
        <v>127</v>
      </c>
      <c r="BT75" s="13">
        <v>97</v>
      </c>
      <c r="BU75" s="13">
        <v>104</v>
      </c>
      <c r="BV75" s="13">
        <v>62</v>
      </c>
      <c r="BW75" s="13">
        <v>173</v>
      </c>
      <c r="BX75" s="13">
        <v>114</v>
      </c>
      <c r="BY75" s="13">
        <v>65</v>
      </c>
      <c r="BZ75" s="13">
        <v>28</v>
      </c>
      <c r="CA75" s="13">
        <v>20</v>
      </c>
      <c r="CB75" s="13">
        <v>150</v>
      </c>
      <c r="CC75" s="13">
        <v>111</v>
      </c>
      <c r="CD75" s="13">
        <v>90</v>
      </c>
      <c r="CE75" s="13">
        <v>69</v>
      </c>
      <c r="CF75" s="13">
        <v>148</v>
      </c>
      <c r="CG75" s="13">
        <v>58</v>
      </c>
      <c r="CH75" s="13">
        <v>63</v>
      </c>
      <c r="CI75" s="13">
        <v>95</v>
      </c>
      <c r="CJ75" s="13">
        <v>55</v>
      </c>
      <c r="CK75" s="13">
        <v>169</v>
      </c>
      <c r="CL75" s="13">
        <v>82</v>
      </c>
      <c r="CM75" s="13">
        <v>172</v>
      </c>
      <c r="CN75" s="13">
        <v>32</v>
      </c>
      <c r="CO75" s="13">
        <v>55</v>
      </c>
      <c r="CP75" s="13">
        <v>30</v>
      </c>
      <c r="CQ75" s="13">
        <v>84</v>
      </c>
      <c r="CR75" s="13">
        <v>27</v>
      </c>
      <c r="CS75" s="13">
        <v>20</v>
      </c>
      <c r="CT75" s="13">
        <v>47</v>
      </c>
      <c r="CU75" s="13">
        <v>40</v>
      </c>
      <c r="CV75" s="14">
        <v>9637</v>
      </c>
      <c r="CW75" s="13">
        <v>0</v>
      </c>
      <c r="CX75" s="13">
        <v>0</v>
      </c>
      <c r="CY75" s="13">
        <v>47</v>
      </c>
      <c r="CZ75" s="13">
        <v>0</v>
      </c>
      <c r="DA75" s="13">
        <v>1</v>
      </c>
      <c r="DB75" s="14">
        <v>48</v>
      </c>
      <c r="DC75" s="14">
        <v>9685</v>
      </c>
      <c r="DD75" s="13">
        <v>0</v>
      </c>
      <c r="DE75" s="13">
        <v>0</v>
      </c>
      <c r="DF75" s="13">
        <v>0</v>
      </c>
      <c r="DG75" s="13">
        <v>0</v>
      </c>
      <c r="DH75" s="13">
        <v>0</v>
      </c>
      <c r="DI75" s="13">
        <v>0</v>
      </c>
      <c r="DJ75" s="14">
        <v>0</v>
      </c>
      <c r="DK75" s="13">
        <v>1</v>
      </c>
      <c r="DL75" s="13">
        <v>8</v>
      </c>
      <c r="DM75" s="13">
        <v>0</v>
      </c>
      <c r="DN75" s="14">
        <v>9694</v>
      </c>
    </row>
    <row r="76" spans="1:118" x14ac:dyDescent="0.2">
      <c r="A76" s="10"/>
      <c r="B76" s="11" t="s">
        <v>467</v>
      </c>
      <c r="C76" s="12" t="s">
        <v>468</v>
      </c>
      <c r="D76" s="13">
        <v>37</v>
      </c>
      <c r="E76" s="13">
        <v>15</v>
      </c>
      <c r="F76" s="13">
        <v>80</v>
      </c>
      <c r="G76" s="13">
        <v>2</v>
      </c>
      <c r="H76" s="13">
        <v>35</v>
      </c>
      <c r="I76" s="13">
        <v>70</v>
      </c>
      <c r="J76" s="13">
        <v>5</v>
      </c>
      <c r="K76" s="13">
        <v>7</v>
      </c>
      <c r="L76" s="13">
        <v>9</v>
      </c>
      <c r="M76" s="13">
        <v>18</v>
      </c>
      <c r="N76" s="13">
        <v>23</v>
      </c>
      <c r="O76" s="13">
        <v>3</v>
      </c>
      <c r="P76" s="13">
        <v>137</v>
      </c>
      <c r="Q76" s="13">
        <v>36</v>
      </c>
      <c r="R76" s="13">
        <v>0</v>
      </c>
      <c r="S76" s="13">
        <v>26</v>
      </c>
      <c r="T76" s="13">
        <v>50</v>
      </c>
      <c r="U76" s="13">
        <v>23</v>
      </c>
      <c r="V76" s="13">
        <v>70</v>
      </c>
      <c r="W76" s="13">
        <v>171</v>
      </c>
      <c r="X76" s="13">
        <v>181</v>
      </c>
      <c r="Y76" s="13">
        <v>30</v>
      </c>
      <c r="Z76" s="13">
        <v>152</v>
      </c>
      <c r="AA76" s="13">
        <v>45</v>
      </c>
      <c r="AB76" s="13">
        <v>8</v>
      </c>
      <c r="AC76" s="13">
        <v>60</v>
      </c>
      <c r="AD76" s="13">
        <v>17</v>
      </c>
      <c r="AE76" s="13">
        <v>12</v>
      </c>
      <c r="AF76" s="13">
        <v>1</v>
      </c>
      <c r="AG76" s="13">
        <v>0</v>
      </c>
      <c r="AH76" s="13">
        <v>15</v>
      </c>
      <c r="AI76" s="13">
        <v>368</v>
      </c>
      <c r="AJ76" s="13">
        <v>84</v>
      </c>
      <c r="AK76" s="13">
        <v>252</v>
      </c>
      <c r="AL76" s="13">
        <v>98</v>
      </c>
      <c r="AM76" s="13">
        <v>30</v>
      </c>
      <c r="AN76" s="13">
        <v>96</v>
      </c>
      <c r="AO76" s="13">
        <v>88</v>
      </c>
      <c r="AP76" s="13">
        <v>331</v>
      </c>
      <c r="AQ76" s="13">
        <v>14</v>
      </c>
      <c r="AR76" s="13">
        <v>46</v>
      </c>
      <c r="AS76" s="13">
        <v>39</v>
      </c>
      <c r="AT76" s="13">
        <v>11</v>
      </c>
      <c r="AU76" s="13">
        <v>1</v>
      </c>
      <c r="AV76" s="13">
        <v>43</v>
      </c>
      <c r="AW76" s="13">
        <v>54</v>
      </c>
      <c r="AX76" s="13">
        <v>107</v>
      </c>
      <c r="AY76" s="13">
        <v>29</v>
      </c>
      <c r="AZ76" s="13">
        <v>0</v>
      </c>
      <c r="BA76" s="13">
        <v>107</v>
      </c>
      <c r="BB76" s="13">
        <v>6</v>
      </c>
      <c r="BC76" s="13">
        <v>191</v>
      </c>
      <c r="BD76" s="13">
        <v>94</v>
      </c>
      <c r="BE76" s="13">
        <v>51</v>
      </c>
      <c r="BF76" s="13">
        <v>88</v>
      </c>
      <c r="BG76" s="13">
        <v>3</v>
      </c>
      <c r="BH76" s="13">
        <v>26</v>
      </c>
      <c r="BI76" s="13">
        <v>306</v>
      </c>
      <c r="BJ76" s="13">
        <v>1</v>
      </c>
      <c r="BK76" s="13">
        <v>21</v>
      </c>
      <c r="BL76" s="13">
        <v>32</v>
      </c>
      <c r="BM76" s="13">
        <v>8</v>
      </c>
      <c r="BN76" s="13">
        <v>13</v>
      </c>
      <c r="BO76" s="13">
        <v>11</v>
      </c>
      <c r="BP76" s="13">
        <v>31</v>
      </c>
      <c r="BQ76" s="13">
        <v>4</v>
      </c>
      <c r="BR76" s="13">
        <v>43</v>
      </c>
      <c r="BS76" s="13">
        <v>42</v>
      </c>
      <c r="BT76" s="13">
        <v>22</v>
      </c>
      <c r="BU76" s="13">
        <v>387</v>
      </c>
      <c r="BV76" s="13">
        <v>4</v>
      </c>
      <c r="BW76" s="13">
        <v>71</v>
      </c>
      <c r="BX76" s="13">
        <v>38</v>
      </c>
      <c r="BY76" s="13">
        <v>72</v>
      </c>
      <c r="BZ76" s="13">
        <v>201</v>
      </c>
      <c r="CA76" s="13">
        <v>419</v>
      </c>
      <c r="CB76" s="13">
        <v>91</v>
      </c>
      <c r="CC76" s="13">
        <v>773</v>
      </c>
      <c r="CD76" s="13">
        <v>101</v>
      </c>
      <c r="CE76" s="13">
        <v>3</v>
      </c>
      <c r="CF76" s="13">
        <v>5</v>
      </c>
      <c r="CG76" s="13">
        <v>25</v>
      </c>
      <c r="CH76" s="13">
        <v>51</v>
      </c>
      <c r="CI76" s="13">
        <v>31</v>
      </c>
      <c r="CJ76" s="13">
        <v>27</v>
      </c>
      <c r="CK76" s="13">
        <v>32</v>
      </c>
      <c r="CL76" s="13">
        <v>13</v>
      </c>
      <c r="CM76" s="13">
        <v>168</v>
      </c>
      <c r="CN76" s="13">
        <v>9</v>
      </c>
      <c r="CO76" s="13">
        <v>68</v>
      </c>
      <c r="CP76" s="13">
        <v>13</v>
      </c>
      <c r="CQ76" s="13">
        <v>168</v>
      </c>
      <c r="CR76" s="13">
        <v>272</v>
      </c>
      <c r="CS76" s="13">
        <v>79</v>
      </c>
      <c r="CT76" s="13">
        <v>314</v>
      </c>
      <c r="CU76" s="13">
        <v>31</v>
      </c>
      <c r="CV76" s="14">
        <v>7595</v>
      </c>
      <c r="CW76" s="13">
        <v>27</v>
      </c>
      <c r="CX76" s="13">
        <v>1</v>
      </c>
      <c r="CY76" s="13">
        <v>0</v>
      </c>
      <c r="CZ76" s="13">
        <v>32</v>
      </c>
      <c r="DA76" s="13">
        <v>0</v>
      </c>
      <c r="DB76" s="14">
        <v>60</v>
      </c>
      <c r="DC76" s="14">
        <v>7655</v>
      </c>
      <c r="DD76" s="13">
        <v>0</v>
      </c>
      <c r="DE76" s="13">
        <v>0</v>
      </c>
      <c r="DF76" s="13">
        <v>1</v>
      </c>
      <c r="DG76" s="13">
        <v>0</v>
      </c>
      <c r="DH76" s="13">
        <v>0</v>
      </c>
      <c r="DI76" s="13">
        <v>0</v>
      </c>
      <c r="DJ76" s="14">
        <v>1</v>
      </c>
      <c r="DK76" s="13">
        <v>4</v>
      </c>
      <c r="DL76" s="13">
        <v>138</v>
      </c>
      <c r="DM76" s="13">
        <v>0</v>
      </c>
      <c r="DN76" s="14">
        <v>7798</v>
      </c>
    </row>
    <row r="77" spans="1:118" x14ac:dyDescent="0.2">
      <c r="A77" s="10"/>
      <c r="B77" s="11" t="s">
        <v>469</v>
      </c>
      <c r="C77" s="12" t="s">
        <v>470</v>
      </c>
      <c r="D77" s="13">
        <v>147</v>
      </c>
      <c r="E77" s="13">
        <v>10</v>
      </c>
      <c r="F77" s="13">
        <v>15</v>
      </c>
      <c r="G77" s="13">
        <v>42</v>
      </c>
      <c r="H77" s="13">
        <v>60</v>
      </c>
      <c r="I77" s="13">
        <v>175</v>
      </c>
      <c r="J77" s="13">
        <v>192</v>
      </c>
      <c r="K77" s="13">
        <v>23</v>
      </c>
      <c r="L77" s="13">
        <v>117</v>
      </c>
      <c r="M77" s="13">
        <v>12</v>
      </c>
      <c r="N77" s="13">
        <v>115</v>
      </c>
      <c r="O77" s="13">
        <v>160</v>
      </c>
      <c r="P77" s="13">
        <v>468</v>
      </c>
      <c r="Q77" s="13">
        <v>21</v>
      </c>
      <c r="R77" s="13">
        <v>4</v>
      </c>
      <c r="S77" s="13">
        <v>55</v>
      </c>
      <c r="T77" s="13">
        <v>19</v>
      </c>
      <c r="U77" s="13">
        <v>16</v>
      </c>
      <c r="V77" s="13">
        <v>54</v>
      </c>
      <c r="W77" s="13">
        <v>92</v>
      </c>
      <c r="X77" s="13">
        <v>4</v>
      </c>
      <c r="Y77" s="13">
        <v>2</v>
      </c>
      <c r="Z77" s="13">
        <v>93</v>
      </c>
      <c r="AA77" s="13">
        <v>204</v>
      </c>
      <c r="AB77" s="13">
        <v>198</v>
      </c>
      <c r="AC77" s="13">
        <v>56</v>
      </c>
      <c r="AD77" s="13">
        <v>25</v>
      </c>
      <c r="AE77" s="13">
        <v>19</v>
      </c>
      <c r="AF77" s="13">
        <v>2</v>
      </c>
      <c r="AG77" s="13">
        <v>39</v>
      </c>
      <c r="AH77" s="13">
        <v>237</v>
      </c>
      <c r="AI77" s="13">
        <v>285</v>
      </c>
      <c r="AJ77" s="13">
        <v>27</v>
      </c>
      <c r="AK77" s="13">
        <v>64</v>
      </c>
      <c r="AL77" s="13">
        <v>246</v>
      </c>
      <c r="AM77" s="13">
        <v>46</v>
      </c>
      <c r="AN77" s="13">
        <v>17</v>
      </c>
      <c r="AO77" s="13">
        <v>47</v>
      </c>
      <c r="AP77" s="13">
        <v>411</v>
      </c>
      <c r="AQ77" s="13">
        <v>99</v>
      </c>
      <c r="AR77" s="13">
        <v>20</v>
      </c>
      <c r="AS77" s="13">
        <v>10</v>
      </c>
      <c r="AT77" s="13">
        <v>73</v>
      </c>
      <c r="AU77" s="13">
        <v>22</v>
      </c>
      <c r="AV77" s="13">
        <v>45</v>
      </c>
      <c r="AW77" s="13">
        <v>50</v>
      </c>
      <c r="AX77" s="13">
        <v>207</v>
      </c>
      <c r="AY77" s="13">
        <v>35</v>
      </c>
      <c r="AZ77" s="13">
        <v>90</v>
      </c>
      <c r="BA77" s="13">
        <v>21</v>
      </c>
      <c r="BB77" s="13">
        <v>3</v>
      </c>
      <c r="BC77" s="13">
        <v>41</v>
      </c>
      <c r="BD77" s="13">
        <v>14</v>
      </c>
      <c r="BE77" s="13">
        <v>46</v>
      </c>
      <c r="BF77" s="13">
        <v>80</v>
      </c>
      <c r="BG77" s="13">
        <v>31</v>
      </c>
      <c r="BH77" s="13">
        <v>7</v>
      </c>
      <c r="BI77" s="13">
        <v>72</v>
      </c>
      <c r="BJ77" s="13">
        <v>11</v>
      </c>
      <c r="BK77" s="13">
        <v>39</v>
      </c>
      <c r="BL77" s="13">
        <v>25</v>
      </c>
      <c r="BM77" s="13">
        <v>1</v>
      </c>
      <c r="BN77" s="13">
        <v>9</v>
      </c>
      <c r="BO77" s="13">
        <v>56</v>
      </c>
      <c r="BP77" s="13">
        <v>174</v>
      </c>
      <c r="BQ77" s="13">
        <v>67</v>
      </c>
      <c r="BR77" s="13">
        <v>82</v>
      </c>
      <c r="BS77" s="13">
        <v>40</v>
      </c>
      <c r="BT77" s="13">
        <v>60</v>
      </c>
      <c r="BU77" s="13">
        <v>233</v>
      </c>
      <c r="BV77" s="13">
        <v>37</v>
      </c>
      <c r="BW77" s="13">
        <v>39</v>
      </c>
      <c r="BX77" s="13">
        <v>8</v>
      </c>
      <c r="BY77" s="13">
        <v>124</v>
      </c>
      <c r="BZ77" s="13">
        <v>205</v>
      </c>
      <c r="CA77" s="13">
        <v>63</v>
      </c>
      <c r="CB77" s="13">
        <v>76</v>
      </c>
      <c r="CC77" s="13">
        <v>44</v>
      </c>
      <c r="CD77" s="13">
        <v>41</v>
      </c>
      <c r="CE77" s="13">
        <v>31</v>
      </c>
      <c r="CF77" s="13">
        <v>2</v>
      </c>
      <c r="CG77" s="13">
        <v>110</v>
      </c>
      <c r="CH77" s="13">
        <v>66</v>
      </c>
      <c r="CI77" s="13">
        <v>203</v>
      </c>
      <c r="CJ77" s="13">
        <v>137</v>
      </c>
      <c r="CK77" s="13">
        <v>11</v>
      </c>
      <c r="CL77" s="13">
        <v>54</v>
      </c>
      <c r="CM77" s="13">
        <v>19</v>
      </c>
      <c r="CN77" s="13">
        <v>39</v>
      </c>
      <c r="CO77" s="13">
        <v>19</v>
      </c>
      <c r="CP77" s="13">
        <v>15</v>
      </c>
      <c r="CQ77" s="13">
        <v>69</v>
      </c>
      <c r="CR77" s="13">
        <v>54</v>
      </c>
      <c r="CS77" s="13">
        <v>29</v>
      </c>
      <c r="CT77" s="13">
        <v>54</v>
      </c>
      <c r="CU77" s="13">
        <v>49</v>
      </c>
      <c r="CV77" s="14">
        <v>7180</v>
      </c>
      <c r="CW77" s="13">
        <v>24</v>
      </c>
      <c r="CX77" s="13">
        <v>34</v>
      </c>
      <c r="CY77" s="13">
        <v>0</v>
      </c>
      <c r="CZ77" s="13">
        <v>79</v>
      </c>
      <c r="DA77" s="13">
        <v>0</v>
      </c>
      <c r="DB77" s="14">
        <v>137</v>
      </c>
      <c r="DC77" s="14">
        <v>7317</v>
      </c>
      <c r="DD77" s="13">
        <v>0</v>
      </c>
      <c r="DE77" s="13">
        <v>0</v>
      </c>
      <c r="DF77" s="13">
        <v>0</v>
      </c>
      <c r="DG77" s="13">
        <v>0</v>
      </c>
      <c r="DH77" s="13">
        <v>40</v>
      </c>
      <c r="DI77" s="13">
        <v>0</v>
      </c>
      <c r="DJ77" s="14">
        <v>40</v>
      </c>
      <c r="DK77" s="13">
        <v>2</v>
      </c>
      <c r="DL77" s="13">
        <v>195</v>
      </c>
      <c r="DM77" s="13">
        <v>0</v>
      </c>
      <c r="DN77" s="14">
        <v>7554</v>
      </c>
    </row>
    <row r="78" spans="1:118" x14ac:dyDescent="0.2">
      <c r="A78" s="10"/>
      <c r="B78" s="11" t="s">
        <v>471</v>
      </c>
      <c r="C78" s="12" t="s">
        <v>472</v>
      </c>
      <c r="D78" s="13">
        <v>107</v>
      </c>
      <c r="E78" s="13">
        <v>70</v>
      </c>
      <c r="F78" s="13">
        <v>42</v>
      </c>
      <c r="G78" s="13">
        <v>30</v>
      </c>
      <c r="H78" s="13">
        <v>30</v>
      </c>
      <c r="I78" s="13">
        <v>136</v>
      </c>
      <c r="J78" s="13">
        <v>36</v>
      </c>
      <c r="K78" s="13">
        <v>17</v>
      </c>
      <c r="L78" s="13">
        <v>6</v>
      </c>
      <c r="M78" s="13">
        <v>22</v>
      </c>
      <c r="N78" s="13">
        <v>7</v>
      </c>
      <c r="O78" s="13">
        <v>74</v>
      </c>
      <c r="P78" s="13">
        <v>294</v>
      </c>
      <c r="Q78" s="13">
        <v>84</v>
      </c>
      <c r="R78" s="13">
        <v>12</v>
      </c>
      <c r="S78" s="13">
        <v>58</v>
      </c>
      <c r="T78" s="13">
        <v>38</v>
      </c>
      <c r="U78" s="13">
        <v>32</v>
      </c>
      <c r="V78" s="13">
        <v>22</v>
      </c>
      <c r="W78" s="13">
        <v>79</v>
      </c>
      <c r="X78" s="13">
        <v>64</v>
      </c>
      <c r="Y78" s="13">
        <v>1</v>
      </c>
      <c r="Z78" s="13">
        <v>67</v>
      </c>
      <c r="AA78" s="13">
        <v>59</v>
      </c>
      <c r="AB78" s="13">
        <v>70</v>
      </c>
      <c r="AC78" s="13">
        <v>64</v>
      </c>
      <c r="AD78" s="13">
        <v>47</v>
      </c>
      <c r="AE78" s="13">
        <v>115</v>
      </c>
      <c r="AF78" s="13">
        <v>30</v>
      </c>
      <c r="AG78" s="13">
        <v>31</v>
      </c>
      <c r="AH78" s="13">
        <v>63</v>
      </c>
      <c r="AI78" s="13">
        <v>177</v>
      </c>
      <c r="AJ78" s="13">
        <v>7</v>
      </c>
      <c r="AK78" s="13">
        <v>159</v>
      </c>
      <c r="AL78" s="13">
        <v>126</v>
      </c>
      <c r="AM78" s="13">
        <v>76</v>
      </c>
      <c r="AN78" s="13">
        <v>26</v>
      </c>
      <c r="AO78" s="13">
        <v>68</v>
      </c>
      <c r="AP78" s="13">
        <v>155</v>
      </c>
      <c r="AQ78" s="13">
        <v>24</v>
      </c>
      <c r="AR78" s="13">
        <v>53</v>
      </c>
      <c r="AS78" s="13">
        <v>30</v>
      </c>
      <c r="AT78" s="13">
        <v>97</v>
      </c>
      <c r="AU78" s="13">
        <v>10</v>
      </c>
      <c r="AV78" s="13">
        <v>153</v>
      </c>
      <c r="AW78" s="13">
        <v>74</v>
      </c>
      <c r="AX78" s="13">
        <v>35</v>
      </c>
      <c r="AY78" s="13">
        <v>19</v>
      </c>
      <c r="AZ78" s="13">
        <v>0</v>
      </c>
      <c r="BA78" s="13">
        <v>106</v>
      </c>
      <c r="BB78" s="13">
        <v>56</v>
      </c>
      <c r="BC78" s="13">
        <v>92</v>
      </c>
      <c r="BD78" s="13">
        <v>23</v>
      </c>
      <c r="BE78" s="13">
        <v>50</v>
      </c>
      <c r="BF78" s="13">
        <v>59</v>
      </c>
      <c r="BG78" s="13">
        <v>9</v>
      </c>
      <c r="BH78" s="13">
        <v>80</v>
      </c>
      <c r="BI78" s="13">
        <v>171</v>
      </c>
      <c r="BJ78" s="13">
        <v>57</v>
      </c>
      <c r="BK78" s="13">
        <v>219</v>
      </c>
      <c r="BL78" s="13">
        <v>85</v>
      </c>
      <c r="BM78" s="13">
        <v>41</v>
      </c>
      <c r="BN78" s="13">
        <v>93</v>
      </c>
      <c r="BO78" s="13">
        <v>147</v>
      </c>
      <c r="BP78" s="13">
        <v>68</v>
      </c>
      <c r="BQ78" s="13">
        <v>14</v>
      </c>
      <c r="BR78" s="13">
        <v>11</v>
      </c>
      <c r="BS78" s="13">
        <v>149</v>
      </c>
      <c r="BT78" s="13">
        <v>63</v>
      </c>
      <c r="BU78" s="13">
        <v>145</v>
      </c>
      <c r="BV78" s="13">
        <v>18</v>
      </c>
      <c r="BW78" s="13">
        <v>132</v>
      </c>
      <c r="BX78" s="13">
        <v>43</v>
      </c>
      <c r="BY78" s="13">
        <v>57</v>
      </c>
      <c r="BZ78" s="13">
        <v>94</v>
      </c>
      <c r="CA78" s="13">
        <v>32</v>
      </c>
      <c r="CB78" s="13">
        <v>150</v>
      </c>
      <c r="CC78" s="13">
        <v>221</v>
      </c>
      <c r="CD78" s="13">
        <v>164</v>
      </c>
      <c r="CE78" s="13">
        <v>26</v>
      </c>
      <c r="CF78" s="13">
        <v>104</v>
      </c>
      <c r="CG78" s="13">
        <v>26</v>
      </c>
      <c r="CH78" s="13">
        <v>57</v>
      </c>
      <c r="CI78" s="13">
        <v>117</v>
      </c>
      <c r="CJ78" s="13">
        <v>98</v>
      </c>
      <c r="CK78" s="13">
        <v>37</v>
      </c>
      <c r="CL78" s="13">
        <v>79</v>
      </c>
      <c r="CM78" s="13">
        <v>73</v>
      </c>
      <c r="CN78" s="13">
        <v>33</v>
      </c>
      <c r="CO78" s="13">
        <v>58</v>
      </c>
      <c r="CP78" s="13">
        <v>23</v>
      </c>
      <c r="CQ78" s="13">
        <v>161</v>
      </c>
      <c r="CR78" s="13">
        <v>86</v>
      </c>
      <c r="CS78" s="13">
        <v>56</v>
      </c>
      <c r="CT78" s="13">
        <v>94</v>
      </c>
      <c r="CU78" s="13">
        <v>94</v>
      </c>
      <c r="CV78" s="14">
        <v>6967</v>
      </c>
      <c r="CW78" s="13">
        <v>4</v>
      </c>
      <c r="CX78" s="13">
        <v>52</v>
      </c>
      <c r="CY78" s="13">
        <v>0</v>
      </c>
      <c r="CZ78" s="13">
        <v>104</v>
      </c>
      <c r="DA78" s="13">
        <v>0</v>
      </c>
      <c r="DB78" s="14">
        <v>160</v>
      </c>
      <c r="DC78" s="14">
        <v>7127</v>
      </c>
      <c r="DD78" s="13">
        <v>0</v>
      </c>
      <c r="DE78" s="13">
        <v>0</v>
      </c>
      <c r="DF78" s="13">
        <v>0</v>
      </c>
      <c r="DG78" s="13">
        <v>0</v>
      </c>
      <c r="DH78" s="13">
        <v>0</v>
      </c>
      <c r="DI78" s="13">
        <v>0</v>
      </c>
      <c r="DJ78" s="14">
        <v>0</v>
      </c>
      <c r="DK78" s="13">
        <v>10</v>
      </c>
      <c r="DL78" s="13">
        <v>128</v>
      </c>
      <c r="DM78" s="13">
        <v>0</v>
      </c>
      <c r="DN78" s="14">
        <v>7265</v>
      </c>
    </row>
    <row r="79" spans="1:118" x14ac:dyDescent="0.2">
      <c r="A79" s="10"/>
      <c r="B79" s="11" t="s">
        <v>473</v>
      </c>
      <c r="C79" s="12" t="s">
        <v>474</v>
      </c>
      <c r="D79" s="13">
        <v>37</v>
      </c>
      <c r="E79" s="13">
        <v>1</v>
      </c>
      <c r="F79" s="13">
        <v>8</v>
      </c>
      <c r="G79" s="13">
        <v>0</v>
      </c>
      <c r="H79" s="13">
        <v>1</v>
      </c>
      <c r="I79" s="13">
        <v>60</v>
      </c>
      <c r="J79" s="13">
        <v>5</v>
      </c>
      <c r="K79" s="13">
        <v>25</v>
      </c>
      <c r="L79" s="13">
        <v>49</v>
      </c>
      <c r="M79" s="13">
        <v>54</v>
      </c>
      <c r="N79" s="13">
        <v>0</v>
      </c>
      <c r="O79" s="13">
        <v>41</v>
      </c>
      <c r="P79" s="13">
        <v>109</v>
      </c>
      <c r="Q79" s="13">
        <v>30</v>
      </c>
      <c r="R79" s="13">
        <v>0</v>
      </c>
      <c r="S79" s="13">
        <v>44</v>
      </c>
      <c r="T79" s="13">
        <v>107</v>
      </c>
      <c r="U79" s="13">
        <v>27</v>
      </c>
      <c r="V79" s="13">
        <v>2</v>
      </c>
      <c r="W79" s="13">
        <v>75</v>
      </c>
      <c r="X79" s="13">
        <v>73</v>
      </c>
      <c r="Y79" s="13">
        <v>1</v>
      </c>
      <c r="Z79" s="13">
        <v>33</v>
      </c>
      <c r="AA79" s="13">
        <v>79</v>
      </c>
      <c r="AB79" s="13">
        <v>82</v>
      </c>
      <c r="AC79" s="13">
        <v>11</v>
      </c>
      <c r="AD79" s="13">
        <v>24</v>
      </c>
      <c r="AE79" s="13">
        <v>93</v>
      </c>
      <c r="AF79" s="13">
        <v>0</v>
      </c>
      <c r="AG79" s="13">
        <v>0</v>
      </c>
      <c r="AH79" s="13">
        <v>37</v>
      </c>
      <c r="AI79" s="13">
        <v>146</v>
      </c>
      <c r="AJ79" s="13">
        <v>2</v>
      </c>
      <c r="AK79" s="13">
        <v>208</v>
      </c>
      <c r="AL79" s="13">
        <v>87</v>
      </c>
      <c r="AM79" s="13">
        <v>169</v>
      </c>
      <c r="AN79" s="13">
        <v>1</v>
      </c>
      <c r="AO79" s="13">
        <v>165</v>
      </c>
      <c r="AP79" s="13">
        <v>204</v>
      </c>
      <c r="AQ79" s="13">
        <v>4</v>
      </c>
      <c r="AR79" s="13">
        <v>38</v>
      </c>
      <c r="AS79" s="13">
        <v>167</v>
      </c>
      <c r="AT79" s="13">
        <v>49</v>
      </c>
      <c r="AU79" s="13">
        <v>7</v>
      </c>
      <c r="AV79" s="13">
        <v>459</v>
      </c>
      <c r="AW79" s="13">
        <v>90</v>
      </c>
      <c r="AX79" s="13">
        <v>33</v>
      </c>
      <c r="AY79" s="13">
        <v>35</v>
      </c>
      <c r="AZ79" s="13">
        <v>1</v>
      </c>
      <c r="BA79" s="13">
        <v>126</v>
      </c>
      <c r="BB79" s="13">
        <v>58</v>
      </c>
      <c r="BC79" s="13">
        <v>39</v>
      </c>
      <c r="BD79" s="13">
        <v>0</v>
      </c>
      <c r="BE79" s="13">
        <v>18</v>
      </c>
      <c r="BF79" s="13">
        <v>65</v>
      </c>
      <c r="BG79" s="13">
        <v>1</v>
      </c>
      <c r="BH79" s="13">
        <v>68</v>
      </c>
      <c r="BI79" s="13">
        <v>28</v>
      </c>
      <c r="BJ79" s="13">
        <v>0</v>
      </c>
      <c r="BK79" s="13">
        <v>104</v>
      </c>
      <c r="BL79" s="13">
        <v>36</v>
      </c>
      <c r="BM79" s="13">
        <v>20</v>
      </c>
      <c r="BN79" s="13">
        <v>69</v>
      </c>
      <c r="BO79" s="13">
        <v>28</v>
      </c>
      <c r="BP79" s="13">
        <v>132</v>
      </c>
      <c r="BQ79" s="13">
        <v>9</v>
      </c>
      <c r="BR79" s="13">
        <v>0</v>
      </c>
      <c r="BS79" s="13">
        <v>96</v>
      </c>
      <c r="BT79" s="13">
        <v>20</v>
      </c>
      <c r="BU79" s="13">
        <v>186</v>
      </c>
      <c r="BV79" s="13">
        <v>53</v>
      </c>
      <c r="BW79" s="13">
        <v>35</v>
      </c>
      <c r="BX79" s="13">
        <v>82</v>
      </c>
      <c r="BY79" s="13">
        <v>73</v>
      </c>
      <c r="BZ79" s="13">
        <v>54</v>
      </c>
      <c r="CA79" s="13">
        <v>253</v>
      </c>
      <c r="CB79" s="13">
        <v>79</v>
      </c>
      <c r="CC79" s="13">
        <v>268</v>
      </c>
      <c r="CD79" s="13">
        <v>180</v>
      </c>
      <c r="CE79" s="13">
        <v>31</v>
      </c>
      <c r="CF79" s="13">
        <v>18</v>
      </c>
      <c r="CG79" s="13">
        <v>2</v>
      </c>
      <c r="CH79" s="13">
        <v>2</v>
      </c>
      <c r="CI79" s="13">
        <v>5</v>
      </c>
      <c r="CJ79" s="13">
        <v>21</v>
      </c>
      <c r="CK79" s="13">
        <v>289</v>
      </c>
      <c r="CL79" s="13">
        <v>16</v>
      </c>
      <c r="CM79" s="13">
        <v>15</v>
      </c>
      <c r="CN79" s="13">
        <v>2</v>
      </c>
      <c r="CO79" s="13">
        <v>5</v>
      </c>
      <c r="CP79" s="13">
        <v>6</v>
      </c>
      <c r="CQ79" s="13">
        <v>42</v>
      </c>
      <c r="CR79" s="13">
        <v>166</v>
      </c>
      <c r="CS79" s="13">
        <v>65</v>
      </c>
      <c r="CT79" s="13">
        <v>144</v>
      </c>
      <c r="CU79" s="13">
        <v>224</v>
      </c>
      <c r="CV79" s="14">
        <v>6206</v>
      </c>
      <c r="CW79" s="13">
        <v>0</v>
      </c>
      <c r="CX79" s="13">
        <v>0</v>
      </c>
      <c r="CY79" s="13">
        <v>0</v>
      </c>
      <c r="CZ79" s="13">
        <v>0</v>
      </c>
      <c r="DA79" s="13">
        <v>0</v>
      </c>
      <c r="DB79" s="14">
        <v>0</v>
      </c>
      <c r="DC79" s="14">
        <v>6206</v>
      </c>
      <c r="DD79" s="13">
        <v>0</v>
      </c>
      <c r="DE79" s="13">
        <v>0</v>
      </c>
      <c r="DF79" s="13">
        <v>0</v>
      </c>
      <c r="DG79" s="13">
        <v>0</v>
      </c>
      <c r="DH79" s="13">
        <v>0</v>
      </c>
      <c r="DI79" s="13">
        <v>0</v>
      </c>
      <c r="DJ79" s="14">
        <v>0</v>
      </c>
      <c r="DK79" s="13">
        <v>1</v>
      </c>
      <c r="DL79" s="13">
        <v>0</v>
      </c>
      <c r="DM79" s="13">
        <v>0</v>
      </c>
      <c r="DN79" s="14">
        <v>6207</v>
      </c>
    </row>
    <row r="80" spans="1:118" x14ac:dyDescent="0.2">
      <c r="A80" s="10"/>
      <c r="B80" s="11" t="s">
        <v>475</v>
      </c>
      <c r="C80" s="12" t="s">
        <v>476</v>
      </c>
      <c r="D80" s="13">
        <v>63</v>
      </c>
      <c r="E80" s="13">
        <v>37</v>
      </c>
      <c r="F80" s="13">
        <v>0</v>
      </c>
      <c r="G80" s="13">
        <v>0</v>
      </c>
      <c r="H80" s="13">
        <v>0</v>
      </c>
      <c r="I80" s="13">
        <v>345</v>
      </c>
      <c r="J80" s="13">
        <v>113</v>
      </c>
      <c r="K80" s="13">
        <v>0</v>
      </c>
      <c r="L80" s="13">
        <v>0</v>
      </c>
      <c r="M80" s="13">
        <v>3</v>
      </c>
      <c r="N80" s="13">
        <v>230</v>
      </c>
      <c r="O80" s="13">
        <v>13</v>
      </c>
      <c r="P80" s="13">
        <v>653</v>
      </c>
      <c r="Q80" s="13">
        <v>1</v>
      </c>
      <c r="R80" s="13">
        <v>0</v>
      </c>
      <c r="S80" s="13">
        <v>0</v>
      </c>
      <c r="T80" s="13">
        <v>0</v>
      </c>
      <c r="U80" s="13">
        <v>18</v>
      </c>
      <c r="V80" s="13">
        <v>0</v>
      </c>
      <c r="W80" s="13">
        <v>2</v>
      </c>
      <c r="X80" s="13">
        <v>0</v>
      </c>
      <c r="Y80" s="13">
        <v>0</v>
      </c>
      <c r="Z80" s="13">
        <v>0</v>
      </c>
      <c r="AA80" s="13">
        <v>3</v>
      </c>
      <c r="AB80" s="13">
        <v>81</v>
      </c>
      <c r="AC80" s="13">
        <v>0</v>
      </c>
      <c r="AD80" s="13">
        <v>4</v>
      </c>
      <c r="AE80" s="13">
        <v>0</v>
      </c>
      <c r="AF80" s="13">
        <v>0</v>
      </c>
      <c r="AG80" s="13">
        <v>0</v>
      </c>
      <c r="AH80" s="13">
        <v>92</v>
      </c>
      <c r="AI80" s="13">
        <v>2</v>
      </c>
      <c r="AJ80" s="13">
        <v>0</v>
      </c>
      <c r="AK80" s="13">
        <v>0</v>
      </c>
      <c r="AL80" s="13">
        <v>1616</v>
      </c>
      <c r="AM80" s="13">
        <v>1</v>
      </c>
      <c r="AN80" s="13">
        <v>0</v>
      </c>
      <c r="AO80" s="13">
        <v>0</v>
      </c>
      <c r="AP80" s="13">
        <v>275</v>
      </c>
      <c r="AQ80" s="13">
        <v>0</v>
      </c>
      <c r="AR80" s="13">
        <v>8</v>
      </c>
      <c r="AS80" s="13">
        <v>9</v>
      </c>
      <c r="AT80" s="13">
        <v>210</v>
      </c>
      <c r="AU80" s="13">
        <v>1</v>
      </c>
      <c r="AV80" s="13">
        <v>0</v>
      </c>
      <c r="AW80" s="13">
        <v>44</v>
      </c>
      <c r="AX80" s="13">
        <v>1</v>
      </c>
      <c r="AY80" s="13">
        <v>0</v>
      </c>
      <c r="AZ80" s="13">
        <v>0</v>
      </c>
      <c r="BA80" s="13">
        <v>0</v>
      </c>
      <c r="BB80" s="13">
        <v>0</v>
      </c>
      <c r="BC80" s="13">
        <v>0</v>
      </c>
      <c r="BD80" s="13">
        <v>0</v>
      </c>
      <c r="BE80" s="13">
        <v>0</v>
      </c>
      <c r="BF80" s="13">
        <v>0</v>
      </c>
      <c r="BG80" s="13">
        <v>0</v>
      </c>
      <c r="BH80" s="13">
        <v>0</v>
      </c>
      <c r="BI80" s="13">
        <v>1</v>
      </c>
      <c r="BJ80" s="13">
        <v>24</v>
      </c>
      <c r="BK80" s="13">
        <v>55</v>
      </c>
      <c r="BL80" s="13">
        <v>45</v>
      </c>
      <c r="BM80" s="13">
        <v>0</v>
      </c>
      <c r="BN80" s="13">
        <v>47</v>
      </c>
      <c r="BO80" s="13">
        <v>1</v>
      </c>
      <c r="BP80" s="13">
        <v>88</v>
      </c>
      <c r="BQ80" s="13">
        <v>0</v>
      </c>
      <c r="BR80" s="13">
        <v>62</v>
      </c>
      <c r="BS80" s="13">
        <v>38</v>
      </c>
      <c r="BT80" s="13">
        <v>0</v>
      </c>
      <c r="BU80" s="13">
        <v>649</v>
      </c>
      <c r="BV80" s="13">
        <v>0</v>
      </c>
      <c r="BW80" s="13">
        <v>119</v>
      </c>
      <c r="BX80" s="13">
        <v>0</v>
      </c>
      <c r="BY80" s="13">
        <v>1</v>
      </c>
      <c r="BZ80" s="13">
        <v>109</v>
      </c>
      <c r="CA80" s="13">
        <v>4</v>
      </c>
      <c r="CB80" s="13">
        <v>1</v>
      </c>
      <c r="CC80" s="13">
        <v>64</v>
      </c>
      <c r="CD80" s="13">
        <v>41</v>
      </c>
      <c r="CE80" s="13">
        <v>0</v>
      </c>
      <c r="CF80" s="13">
        <v>1</v>
      </c>
      <c r="CG80" s="13">
        <v>3</v>
      </c>
      <c r="CH80" s="13">
        <v>1</v>
      </c>
      <c r="CI80" s="13">
        <v>463</v>
      </c>
      <c r="CJ80" s="13">
        <v>43</v>
      </c>
      <c r="CK80" s="13">
        <v>2</v>
      </c>
      <c r="CL80" s="13">
        <v>0</v>
      </c>
      <c r="CM80" s="13">
        <v>0</v>
      </c>
      <c r="CN80" s="13">
        <v>0</v>
      </c>
      <c r="CO80" s="13">
        <v>35</v>
      </c>
      <c r="CP80" s="13">
        <v>0</v>
      </c>
      <c r="CQ80" s="13">
        <v>34</v>
      </c>
      <c r="CR80" s="13">
        <v>2</v>
      </c>
      <c r="CS80" s="13">
        <v>0</v>
      </c>
      <c r="CT80" s="13">
        <v>5</v>
      </c>
      <c r="CU80" s="13">
        <v>1</v>
      </c>
      <c r="CV80" s="14">
        <v>5764</v>
      </c>
      <c r="CW80" s="13">
        <v>0</v>
      </c>
      <c r="CX80" s="13">
        <v>0</v>
      </c>
      <c r="CY80" s="13">
        <v>0</v>
      </c>
      <c r="CZ80" s="13">
        <v>0</v>
      </c>
      <c r="DA80" s="13">
        <v>0</v>
      </c>
      <c r="DB80" s="14">
        <v>0</v>
      </c>
      <c r="DC80" s="14">
        <v>5764</v>
      </c>
      <c r="DD80" s="13">
        <v>0</v>
      </c>
      <c r="DE80" s="13">
        <v>0</v>
      </c>
      <c r="DF80" s="13">
        <v>0</v>
      </c>
      <c r="DG80" s="13">
        <v>0</v>
      </c>
      <c r="DH80" s="13">
        <v>0</v>
      </c>
      <c r="DI80" s="13">
        <v>0</v>
      </c>
      <c r="DJ80" s="14">
        <v>0</v>
      </c>
      <c r="DK80" s="13">
        <v>0</v>
      </c>
      <c r="DL80" s="13">
        <v>0</v>
      </c>
      <c r="DM80" s="13">
        <v>0</v>
      </c>
      <c r="DN80" s="14">
        <v>5764</v>
      </c>
    </row>
    <row r="81" spans="1:118" x14ac:dyDescent="0.2">
      <c r="A81" s="10"/>
      <c r="B81" s="11" t="s">
        <v>477</v>
      </c>
      <c r="C81" s="12" t="s">
        <v>478</v>
      </c>
      <c r="D81" s="13">
        <v>34</v>
      </c>
      <c r="E81" s="13">
        <v>46</v>
      </c>
      <c r="F81" s="13">
        <v>5</v>
      </c>
      <c r="G81" s="13">
        <v>23</v>
      </c>
      <c r="H81" s="13">
        <v>29</v>
      </c>
      <c r="I81" s="13">
        <v>45</v>
      </c>
      <c r="J81" s="13">
        <v>17</v>
      </c>
      <c r="K81" s="13">
        <v>7</v>
      </c>
      <c r="L81" s="13">
        <v>54</v>
      </c>
      <c r="M81" s="13">
        <v>32</v>
      </c>
      <c r="N81" s="13">
        <v>44</v>
      </c>
      <c r="O81" s="13">
        <v>5</v>
      </c>
      <c r="P81" s="13">
        <v>73</v>
      </c>
      <c r="Q81" s="13">
        <v>74</v>
      </c>
      <c r="R81" s="13">
        <v>40</v>
      </c>
      <c r="S81" s="13">
        <v>73</v>
      </c>
      <c r="T81" s="13">
        <v>201</v>
      </c>
      <c r="U81" s="13">
        <v>10</v>
      </c>
      <c r="V81" s="13">
        <v>29</v>
      </c>
      <c r="W81" s="13">
        <v>76</v>
      </c>
      <c r="X81" s="13">
        <v>82</v>
      </c>
      <c r="Y81" s="13">
        <v>6</v>
      </c>
      <c r="Z81" s="13">
        <v>60</v>
      </c>
      <c r="AA81" s="13">
        <v>41</v>
      </c>
      <c r="AB81" s="13">
        <v>36</v>
      </c>
      <c r="AC81" s="13">
        <v>93</v>
      </c>
      <c r="AD81" s="13">
        <v>30</v>
      </c>
      <c r="AE81" s="13">
        <v>78</v>
      </c>
      <c r="AF81" s="13">
        <v>32</v>
      </c>
      <c r="AG81" s="13">
        <v>1</v>
      </c>
      <c r="AH81" s="13">
        <v>140</v>
      </c>
      <c r="AI81" s="13">
        <v>73</v>
      </c>
      <c r="AJ81" s="13">
        <v>7</v>
      </c>
      <c r="AK81" s="13">
        <v>147</v>
      </c>
      <c r="AL81" s="13">
        <v>136</v>
      </c>
      <c r="AM81" s="13">
        <v>105</v>
      </c>
      <c r="AN81" s="13">
        <v>56</v>
      </c>
      <c r="AO81" s="13">
        <v>112</v>
      </c>
      <c r="AP81" s="13">
        <v>72</v>
      </c>
      <c r="AQ81" s="13">
        <v>33</v>
      </c>
      <c r="AR81" s="13">
        <v>9</v>
      </c>
      <c r="AS81" s="13">
        <v>26</v>
      </c>
      <c r="AT81" s="13">
        <v>99</v>
      </c>
      <c r="AU81" s="13">
        <v>5</v>
      </c>
      <c r="AV81" s="13">
        <v>59</v>
      </c>
      <c r="AW81" s="13">
        <v>59</v>
      </c>
      <c r="AX81" s="13">
        <v>35</v>
      </c>
      <c r="AY81" s="13">
        <v>8</v>
      </c>
      <c r="AZ81" s="13">
        <v>2</v>
      </c>
      <c r="BA81" s="13">
        <v>115</v>
      </c>
      <c r="BB81" s="13">
        <v>53</v>
      </c>
      <c r="BC81" s="13">
        <v>37</v>
      </c>
      <c r="BD81" s="13">
        <v>8</v>
      </c>
      <c r="BE81" s="13">
        <v>6</v>
      </c>
      <c r="BF81" s="13">
        <v>44</v>
      </c>
      <c r="BG81" s="13">
        <v>17</v>
      </c>
      <c r="BH81" s="13">
        <v>44</v>
      </c>
      <c r="BI81" s="13">
        <v>85</v>
      </c>
      <c r="BJ81" s="13">
        <v>68</v>
      </c>
      <c r="BK81" s="13">
        <v>171</v>
      </c>
      <c r="BL81" s="13">
        <v>109</v>
      </c>
      <c r="BM81" s="13">
        <v>26</v>
      </c>
      <c r="BN81" s="13">
        <v>168</v>
      </c>
      <c r="BO81" s="13">
        <v>76</v>
      </c>
      <c r="BP81" s="13">
        <v>30</v>
      </c>
      <c r="BQ81" s="13">
        <v>15</v>
      </c>
      <c r="BR81" s="13">
        <v>38</v>
      </c>
      <c r="BS81" s="13">
        <v>75</v>
      </c>
      <c r="BT81" s="13">
        <v>18</v>
      </c>
      <c r="BU81" s="13">
        <v>54</v>
      </c>
      <c r="BV81" s="13">
        <v>9</v>
      </c>
      <c r="BW81" s="13">
        <v>11</v>
      </c>
      <c r="BX81" s="13">
        <v>67</v>
      </c>
      <c r="BY81" s="13">
        <v>51</v>
      </c>
      <c r="BZ81" s="13">
        <v>89</v>
      </c>
      <c r="CA81" s="13">
        <v>5</v>
      </c>
      <c r="CB81" s="13">
        <v>135</v>
      </c>
      <c r="CC81" s="13">
        <v>195</v>
      </c>
      <c r="CD81" s="13">
        <v>33</v>
      </c>
      <c r="CE81" s="13">
        <v>101</v>
      </c>
      <c r="CF81" s="13">
        <v>93</v>
      </c>
      <c r="CG81" s="13">
        <v>52</v>
      </c>
      <c r="CH81" s="13">
        <v>35</v>
      </c>
      <c r="CI81" s="13">
        <v>63</v>
      </c>
      <c r="CJ81" s="13">
        <v>54</v>
      </c>
      <c r="CK81" s="13">
        <v>69</v>
      </c>
      <c r="CL81" s="13">
        <v>56</v>
      </c>
      <c r="CM81" s="13">
        <v>127</v>
      </c>
      <c r="CN81" s="13">
        <v>9</v>
      </c>
      <c r="CO81" s="13">
        <v>63</v>
      </c>
      <c r="CP81" s="13">
        <v>2</v>
      </c>
      <c r="CQ81" s="13">
        <v>16</v>
      </c>
      <c r="CR81" s="13">
        <v>5</v>
      </c>
      <c r="CS81" s="13">
        <v>9</v>
      </c>
      <c r="CT81" s="13">
        <v>21</v>
      </c>
      <c r="CU81" s="13">
        <v>32</v>
      </c>
      <c r="CV81" s="14">
        <v>5218</v>
      </c>
      <c r="CW81" s="13">
        <v>0</v>
      </c>
      <c r="CX81" s="13">
        <v>0</v>
      </c>
      <c r="CY81" s="13">
        <v>0</v>
      </c>
      <c r="CZ81" s="13">
        <v>12</v>
      </c>
      <c r="DA81" s="13">
        <v>0</v>
      </c>
      <c r="DB81" s="14">
        <v>12</v>
      </c>
      <c r="DC81" s="14">
        <v>5230</v>
      </c>
      <c r="DD81" s="13">
        <v>0</v>
      </c>
      <c r="DE81" s="13">
        <v>0</v>
      </c>
      <c r="DF81" s="13">
        <v>0</v>
      </c>
      <c r="DG81" s="13">
        <v>0</v>
      </c>
      <c r="DH81" s="13">
        <v>0</v>
      </c>
      <c r="DI81" s="13">
        <v>0</v>
      </c>
      <c r="DJ81" s="14">
        <v>0</v>
      </c>
      <c r="DK81" s="13">
        <v>1</v>
      </c>
      <c r="DL81" s="13">
        <v>20</v>
      </c>
      <c r="DM81" s="13">
        <v>0</v>
      </c>
      <c r="DN81" s="14">
        <v>5251</v>
      </c>
    </row>
    <row r="82" spans="1:118" x14ac:dyDescent="0.2">
      <c r="A82" s="10"/>
      <c r="B82" s="11" t="s">
        <v>479</v>
      </c>
      <c r="C82" s="12" t="s">
        <v>480</v>
      </c>
      <c r="D82" s="13">
        <v>0</v>
      </c>
      <c r="E82" s="13">
        <v>0</v>
      </c>
      <c r="F82" s="13">
        <v>0</v>
      </c>
      <c r="G82" s="13">
        <v>21</v>
      </c>
      <c r="H82" s="13">
        <v>0</v>
      </c>
      <c r="I82" s="13">
        <v>168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12</v>
      </c>
      <c r="P82" s="13">
        <v>208</v>
      </c>
      <c r="Q82" s="13">
        <v>0</v>
      </c>
      <c r="R82" s="13">
        <v>0</v>
      </c>
      <c r="S82" s="13">
        <v>0</v>
      </c>
      <c r="T82" s="13">
        <v>12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15</v>
      </c>
      <c r="AF82" s="13">
        <v>0</v>
      </c>
      <c r="AG82" s="13">
        <v>0</v>
      </c>
      <c r="AH82" s="13">
        <v>0</v>
      </c>
      <c r="AI82" s="13">
        <v>444</v>
      </c>
      <c r="AJ82" s="13">
        <v>0</v>
      </c>
      <c r="AK82" s="13">
        <v>75</v>
      </c>
      <c r="AL82" s="13">
        <v>54</v>
      </c>
      <c r="AM82" s="13">
        <v>0</v>
      </c>
      <c r="AN82" s="13">
        <v>0</v>
      </c>
      <c r="AO82" s="13">
        <v>0</v>
      </c>
      <c r="AP82" s="13">
        <v>12</v>
      </c>
      <c r="AQ82" s="13">
        <v>0</v>
      </c>
      <c r="AR82" s="13">
        <v>0</v>
      </c>
      <c r="AS82" s="13">
        <v>0</v>
      </c>
      <c r="AT82" s="13">
        <v>0</v>
      </c>
      <c r="AU82" s="13">
        <v>0</v>
      </c>
      <c r="AV82" s="13">
        <v>252</v>
      </c>
      <c r="AW82" s="13">
        <v>0</v>
      </c>
      <c r="AX82" s="13">
        <v>0</v>
      </c>
      <c r="AY82" s="13">
        <v>0</v>
      </c>
      <c r="AZ82" s="13">
        <v>0</v>
      </c>
      <c r="BA82" s="13">
        <v>0</v>
      </c>
      <c r="BB82" s="13">
        <v>0</v>
      </c>
      <c r="BC82" s="13">
        <v>0</v>
      </c>
      <c r="BD82" s="13">
        <v>12</v>
      </c>
      <c r="BE82" s="13">
        <v>0</v>
      </c>
      <c r="BF82" s="13">
        <v>18</v>
      </c>
      <c r="BG82" s="13">
        <v>76</v>
      </c>
      <c r="BH82" s="13">
        <v>0</v>
      </c>
      <c r="BI82" s="13">
        <v>12</v>
      </c>
      <c r="BJ82" s="13">
        <v>0</v>
      </c>
      <c r="BK82" s="13">
        <v>143</v>
      </c>
      <c r="BL82" s="13">
        <v>178</v>
      </c>
      <c r="BM82" s="13">
        <v>0</v>
      </c>
      <c r="BN82" s="13">
        <v>0</v>
      </c>
      <c r="BO82" s="13">
        <v>0</v>
      </c>
      <c r="BP82" s="13">
        <v>0</v>
      </c>
      <c r="BQ82" s="13">
        <v>0</v>
      </c>
      <c r="BR82" s="13">
        <v>0</v>
      </c>
      <c r="BS82" s="13">
        <v>12</v>
      </c>
      <c r="BT82" s="13">
        <v>0</v>
      </c>
      <c r="BU82" s="13">
        <v>87</v>
      </c>
      <c r="BV82" s="13">
        <v>0</v>
      </c>
      <c r="BW82" s="13">
        <v>0</v>
      </c>
      <c r="BX82" s="13">
        <v>12</v>
      </c>
      <c r="BY82" s="13">
        <v>0</v>
      </c>
      <c r="BZ82" s="13">
        <v>12</v>
      </c>
      <c r="CA82" s="13">
        <v>845</v>
      </c>
      <c r="CB82" s="13">
        <v>1</v>
      </c>
      <c r="CC82" s="13">
        <v>14</v>
      </c>
      <c r="CD82" s="13">
        <v>2</v>
      </c>
      <c r="CE82" s="13">
        <v>0</v>
      </c>
      <c r="CF82" s="13">
        <v>24</v>
      </c>
      <c r="CG82" s="13">
        <v>0</v>
      </c>
      <c r="CH82" s="13">
        <v>0</v>
      </c>
      <c r="CI82" s="13">
        <v>12</v>
      </c>
      <c r="CJ82" s="13">
        <v>0</v>
      </c>
      <c r="CK82" s="13">
        <v>12</v>
      </c>
      <c r="CL82" s="13">
        <v>0</v>
      </c>
      <c r="CM82" s="13">
        <v>0</v>
      </c>
      <c r="CN82" s="13">
        <v>12</v>
      </c>
      <c r="CO82" s="13">
        <v>0</v>
      </c>
      <c r="CP82" s="13">
        <v>0</v>
      </c>
      <c r="CQ82" s="13">
        <v>306</v>
      </c>
      <c r="CR82" s="13">
        <v>68</v>
      </c>
      <c r="CS82" s="13">
        <v>488</v>
      </c>
      <c r="CT82" s="13">
        <v>1050</v>
      </c>
      <c r="CU82" s="13">
        <v>62</v>
      </c>
      <c r="CV82" s="14">
        <v>4731</v>
      </c>
      <c r="CW82" s="13">
        <v>79</v>
      </c>
      <c r="CX82" s="13">
        <v>164</v>
      </c>
      <c r="CY82" s="13">
        <v>0</v>
      </c>
      <c r="CZ82" s="13">
        <v>0</v>
      </c>
      <c r="DA82" s="13">
        <v>0</v>
      </c>
      <c r="DB82" s="14">
        <v>243</v>
      </c>
      <c r="DC82" s="14">
        <v>4974</v>
      </c>
      <c r="DD82" s="13">
        <v>0</v>
      </c>
      <c r="DE82" s="13">
        <v>0</v>
      </c>
      <c r="DF82" s="13">
        <v>0</v>
      </c>
      <c r="DG82" s="13">
        <v>0</v>
      </c>
      <c r="DH82" s="13">
        <v>0</v>
      </c>
      <c r="DI82" s="13">
        <v>0</v>
      </c>
      <c r="DJ82" s="14">
        <v>0</v>
      </c>
      <c r="DK82" s="13">
        <v>0</v>
      </c>
      <c r="DL82" s="13">
        <v>0</v>
      </c>
      <c r="DM82" s="13">
        <v>0</v>
      </c>
      <c r="DN82" s="14">
        <v>4974</v>
      </c>
    </row>
    <row r="83" spans="1:118" x14ac:dyDescent="0.2">
      <c r="A83" s="10"/>
      <c r="B83" s="11" t="s">
        <v>481</v>
      </c>
      <c r="C83" s="12" t="s">
        <v>482</v>
      </c>
      <c r="D83" s="13">
        <v>0</v>
      </c>
      <c r="E83" s="13">
        <v>0</v>
      </c>
      <c r="F83" s="13">
        <v>0</v>
      </c>
      <c r="G83" s="13">
        <v>1</v>
      </c>
      <c r="H83" s="13">
        <v>0</v>
      </c>
      <c r="I83" s="13">
        <v>0</v>
      </c>
      <c r="J83" s="13">
        <v>4</v>
      </c>
      <c r="K83" s="13">
        <v>0</v>
      </c>
      <c r="L83" s="13">
        <v>0</v>
      </c>
      <c r="M83" s="13">
        <v>0</v>
      </c>
      <c r="N83" s="13">
        <v>1</v>
      </c>
      <c r="O83" s="13">
        <v>0</v>
      </c>
      <c r="P83" s="13">
        <v>808</v>
      </c>
      <c r="Q83" s="13">
        <v>0</v>
      </c>
      <c r="R83" s="13">
        <v>0</v>
      </c>
      <c r="S83" s="13">
        <v>1</v>
      </c>
      <c r="T83" s="13">
        <v>1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4</v>
      </c>
      <c r="AC83" s="13">
        <v>0</v>
      </c>
      <c r="AD83" s="13">
        <v>0</v>
      </c>
      <c r="AE83" s="13">
        <v>0</v>
      </c>
      <c r="AF83" s="13">
        <v>0</v>
      </c>
      <c r="AG83" s="13">
        <v>0</v>
      </c>
      <c r="AH83" s="13">
        <v>1069</v>
      </c>
      <c r="AI83" s="13">
        <v>0</v>
      </c>
      <c r="AJ83" s="13">
        <v>0</v>
      </c>
      <c r="AK83" s="13">
        <v>0</v>
      </c>
      <c r="AL83" s="13">
        <v>707</v>
      </c>
      <c r="AM83" s="13">
        <v>0</v>
      </c>
      <c r="AN83" s="13">
        <v>0</v>
      </c>
      <c r="AO83" s="13">
        <v>0</v>
      </c>
      <c r="AP83" s="13">
        <v>0</v>
      </c>
      <c r="AQ83" s="13">
        <v>0</v>
      </c>
      <c r="AR83" s="13">
        <v>0</v>
      </c>
      <c r="AS83" s="13">
        <v>0</v>
      </c>
      <c r="AT83" s="13">
        <v>0</v>
      </c>
      <c r="AU83" s="13">
        <v>0</v>
      </c>
      <c r="AV83" s="13">
        <v>0</v>
      </c>
      <c r="AW83" s="13">
        <v>0</v>
      </c>
      <c r="AX83" s="13">
        <v>0</v>
      </c>
      <c r="AY83" s="13">
        <v>0</v>
      </c>
      <c r="AZ83" s="13">
        <v>0</v>
      </c>
      <c r="BA83" s="13">
        <v>0</v>
      </c>
      <c r="BB83" s="13">
        <v>0</v>
      </c>
      <c r="BC83" s="13">
        <v>1</v>
      </c>
      <c r="BD83" s="13">
        <v>0</v>
      </c>
      <c r="BE83" s="13">
        <v>0</v>
      </c>
      <c r="BF83" s="13">
        <v>0</v>
      </c>
      <c r="BG83" s="13">
        <v>0</v>
      </c>
      <c r="BH83" s="13">
        <v>0</v>
      </c>
      <c r="BI83" s="13">
        <v>0</v>
      </c>
      <c r="BJ83" s="13">
        <v>0</v>
      </c>
      <c r="BK83" s="13">
        <v>0</v>
      </c>
      <c r="BL83" s="13">
        <v>0</v>
      </c>
      <c r="BM83" s="13">
        <v>0</v>
      </c>
      <c r="BN83" s="13">
        <v>0</v>
      </c>
      <c r="BO83" s="13">
        <v>0</v>
      </c>
      <c r="BP83" s="13">
        <v>0</v>
      </c>
      <c r="BQ83" s="13">
        <v>0</v>
      </c>
      <c r="BR83" s="13">
        <v>0</v>
      </c>
      <c r="BS83" s="13">
        <v>0</v>
      </c>
      <c r="BT83" s="13">
        <v>0</v>
      </c>
      <c r="BU83" s="13">
        <v>0</v>
      </c>
      <c r="BV83" s="13">
        <v>0</v>
      </c>
      <c r="BW83" s="13">
        <v>0</v>
      </c>
      <c r="BX83" s="13">
        <v>0</v>
      </c>
      <c r="BY83" s="13">
        <v>0</v>
      </c>
      <c r="BZ83" s="13">
        <v>0</v>
      </c>
      <c r="CA83" s="13">
        <v>1</v>
      </c>
      <c r="CB83" s="13">
        <v>0</v>
      </c>
      <c r="CC83" s="13">
        <v>0</v>
      </c>
      <c r="CD83" s="13">
        <v>0</v>
      </c>
      <c r="CE83" s="13">
        <v>0</v>
      </c>
      <c r="CF83" s="13">
        <v>0</v>
      </c>
      <c r="CG83" s="13">
        <v>0</v>
      </c>
      <c r="CH83" s="13">
        <v>0</v>
      </c>
      <c r="CI83" s="13">
        <v>2</v>
      </c>
      <c r="CJ83" s="13">
        <v>38</v>
      </c>
      <c r="CK83" s="13">
        <v>0</v>
      </c>
      <c r="CL83" s="13">
        <v>0</v>
      </c>
      <c r="CM83" s="13">
        <v>0</v>
      </c>
      <c r="CN83" s="13">
        <v>0</v>
      </c>
      <c r="CO83" s="13">
        <v>0</v>
      </c>
      <c r="CP83" s="13">
        <v>0</v>
      </c>
      <c r="CQ83" s="13">
        <v>0</v>
      </c>
      <c r="CR83" s="13">
        <v>0</v>
      </c>
      <c r="CS83" s="13">
        <v>0</v>
      </c>
      <c r="CT83" s="13">
        <v>0</v>
      </c>
      <c r="CU83" s="13">
        <v>0</v>
      </c>
      <c r="CV83" s="14">
        <v>2638</v>
      </c>
      <c r="CW83" s="13">
        <v>0</v>
      </c>
      <c r="CX83" s="13">
        <v>0</v>
      </c>
      <c r="CY83" s="13">
        <v>0</v>
      </c>
      <c r="CZ83" s="13">
        <v>0</v>
      </c>
      <c r="DA83" s="13">
        <v>0</v>
      </c>
      <c r="DB83" s="14">
        <v>0</v>
      </c>
      <c r="DC83" s="14">
        <v>2638</v>
      </c>
      <c r="DD83" s="13">
        <v>0</v>
      </c>
      <c r="DE83" s="13">
        <v>0</v>
      </c>
      <c r="DF83" s="13">
        <v>0</v>
      </c>
      <c r="DG83" s="13">
        <v>0</v>
      </c>
      <c r="DH83" s="13">
        <v>0</v>
      </c>
      <c r="DI83" s="13">
        <v>0</v>
      </c>
      <c r="DJ83" s="14">
        <v>0</v>
      </c>
      <c r="DK83" s="13">
        <v>0</v>
      </c>
      <c r="DL83" s="13">
        <v>0</v>
      </c>
      <c r="DM83" s="13">
        <v>0</v>
      </c>
      <c r="DN83" s="14">
        <v>2638</v>
      </c>
    </row>
    <row r="84" spans="1:118" x14ac:dyDescent="0.2">
      <c r="A84" s="10"/>
      <c r="B84" s="11" t="s">
        <v>483</v>
      </c>
      <c r="C84" s="12" t="s">
        <v>484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54</v>
      </c>
      <c r="O84" s="13">
        <v>0</v>
      </c>
      <c r="P84" s="13">
        <v>227</v>
      </c>
      <c r="Q84" s="13">
        <v>2</v>
      </c>
      <c r="R84" s="13">
        <v>2</v>
      </c>
      <c r="S84" s="13">
        <v>0</v>
      </c>
      <c r="T84" s="13">
        <v>0</v>
      </c>
      <c r="U84" s="13">
        <v>0</v>
      </c>
      <c r="V84" s="13">
        <v>47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</v>
      </c>
      <c r="AG84" s="13">
        <v>0</v>
      </c>
      <c r="AH84" s="13">
        <v>37</v>
      </c>
      <c r="AI84" s="13">
        <v>2</v>
      </c>
      <c r="AJ84" s="13">
        <v>0</v>
      </c>
      <c r="AK84" s="13">
        <v>0</v>
      </c>
      <c r="AL84" s="13">
        <v>1624</v>
      </c>
      <c r="AM84" s="13">
        <v>0</v>
      </c>
      <c r="AN84" s="13">
        <v>0</v>
      </c>
      <c r="AO84" s="13">
        <v>0</v>
      </c>
      <c r="AP84" s="13">
        <v>0</v>
      </c>
      <c r="AQ84" s="13">
        <v>0</v>
      </c>
      <c r="AR84" s="13">
        <v>0</v>
      </c>
      <c r="AS84" s="13">
        <v>0</v>
      </c>
      <c r="AT84" s="13">
        <v>0</v>
      </c>
      <c r="AU84" s="13">
        <v>0</v>
      </c>
      <c r="AV84" s="13">
        <v>0</v>
      </c>
      <c r="AW84" s="13">
        <v>0</v>
      </c>
      <c r="AX84" s="13">
        <v>0</v>
      </c>
      <c r="AY84" s="13">
        <v>0</v>
      </c>
      <c r="AZ84" s="13">
        <v>0</v>
      </c>
      <c r="BA84" s="13">
        <v>0</v>
      </c>
      <c r="BB84" s="13">
        <v>0</v>
      </c>
      <c r="BC84" s="13">
        <v>0</v>
      </c>
      <c r="BD84" s="13">
        <v>0</v>
      </c>
      <c r="BE84" s="13">
        <v>0</v>
      </c>
      <c r="BF84" s="13">
        <v>20</v>
      </c>
      <c r="BG84" s="13">
        <v>0</v>
      </c>
      <c r="BH84" s="13">
        <v>0</v>
      </c>
      <c r="BI84" s="13">
        <v>2</v>
      </c>
      <c r="BJ84" s="13">
        <v>0</v>
      </c>
      <c r="BK84" s="13">
        <v>0</v>
      </c>
      <c r="BL84" s="13">
        <v>92</v>
      </c>
      <c r="BM84" s="13">
        <v>0</v>
      </c>
      <c r="BN84" s="13">
        <v>0</v>
      </c>
      <c r="BO84" s="13">
        <v>0</v>
      </c>
      <c r="BP84" s="13">
        <v>0</v>
      </c>
      <c r="BQ84" s="13">
        <v>0</v>
      </c>
      <c r="BR84" s="13">
        <v>0</v>
      </c>
      <c r="BS84" s="13">
        <v>0</v>
      </c>
      <c r="BT84" s="13">
        <v>0</v>
      </c>
      <c r="BU84" s="13">
        <v>0</v>
      </c>
      <c r="BV84" s="13">
        <v>0</v>
      </c>
      <c r="BW84" s="13">
        <v>0</v>
      </c>
      <c r="BX84" s="13">
        <v>0</v>
      </c>
      <c r="BY84" s="13">
        <v>0</v>
      </c>
      <c r="BZ84" s="13">
        <v>0</v>
      </c>
      <c r="CA84" s="13">
        <v>0</v>
      </c>
      <c r="CB84" s="13">
        <v>0</v>
      </c>
      <c r="CC84" s="13">
        <v>0</v>
      </c>
      <c r="CD84" s="13">
        <v>0</v>
      </c>
      <c r="CE84" s="13">
        <v>0</v>
      </c>
      <c r="CF84" s="13">
        <v>1</v>
      </c>
      <c r="CG84" s="13">
        <v>0</v>
      </c>
      <c r="CH84" s="13">
        <v>0</v>
      </c>
      <c r="CI84" s="13">
        <v>8</v>
      </c>
      <c r="CJ84" s="13">
        <v>0</v>
      </c>
      <c r="CK84" s="13">
        <v>0</v>
      </c>
      <c r="CL84" s="13">
        <v>0</v>
      </c>
      <c r="CM84" s="13">
        <v>1</v>
      </c>
      <c r="CN84" s="13">
        <v>0</v>
      </c>
      <c r="CO84" s="13">
        <v>0</v>
      </c>
      <c r="CP84" s="13">
        <v>0</v>
      </c>
      <c r="CQ84" s="13">
        <v>0</v>
      </c>
      <c r="CR84" s="13">
        <v>0</v>
      </c>
      <c r="CS84" s="13">
        <v>0</v>
      </c>
      <c r="CT84" s="13">
        <v>0</v>
      </c>
      <c r="CU84" s="13">
        <v>0</v>
      </c>
      <c r="CV84" s="14">
        <v>2119</v>
      </c>
      <c r="CW84" s="13">
        <v>0</v>
      </c>
      <c r="CX84" s="13">
        <v>0</v>
      </c>
      <c r="CY84" s="13">
        <v>0</v>
      </c>
      <c r="CZ84" s="13">
        <v>0</v>
      </c>
      <c r="DA84" s="13">
        <v>0</v>
      </c>
      <c r="DB84" s="14">
        <v>0</v>
      </c>
      <c r="DC84" s="14">
        <v>2119</v>
      </c>
      <c r="DD84" s="13">
        <v>0</v>
      </c>
      <c r="DE84" s="13">
        <v>0</v>
      </c>
      <c r="DF84" s="13">
        <v>0</v>
      </c>
      <c r="DG84" s="13">
        <v>0</v>
      </c>
      <c r="DH84" s="13">
        <v>0</v>
      </c>
      <c r="DI84" s="13">
        <v>0</v>
      </c>
      <c r="DJ84" s="14">
        <v>0</v>
      </c>
      <c r="DK84" s="13">
        <v>0</v>
      </c>
      <c r="DL84" s="13">
        <v>0</v>
      </c>
      <c r="DM84" s="13">
        <v>0</v>
      </c>
      <c r="DN84" s="14">
        <v>2119</v>
      </c>
    </row>
    <row r="85" spans="1:118" x14ac:dyDescent="0.2">
      <c r="A85" s="10"/>
      <c r="B85" s="11" t="s">
        <v>485</v>
      </c>
      <c r="C85" s="12" t="s">
        <v>486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1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1</v>
      </c>
      <c r="AI85" s="13">
        <v>1</v>
      </c>
      <c r="AJ85" s="13">
        <v>276</v>
      </c>
      <c r="AK85" s="13">
        <v>16</v>
      </c>
      <c r="AL85" s="13">
        <v>1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1557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51</v>
      </c>
      <c r="AZ85" s="13">
        <v>0</v>
      </c>
      <c r="BA85" s="13">
        <v>0</v>
      </c>
      <c r="BB85" s="13">
        <v>0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0</v>
      </c>
      <c r="BI85" s="13">
        <v>0</v>
      </c>
      <c r="BJ85" s="13">
        <v>0</v>
      </c>
      <c r="BK85" s="13">
        <v>0</v>
      </c>
      <c r="BL85" s="13">
        <v>0</v>
      </c>
      <c r="BM85" s="13">
        <v>0</v>
      </c>
      <c r="BN85" s="13">
        <v>0</v>
      </c>
      <c r="BO85" s="13">
        <v>0</v>
      </c>
      <c r="BP85" s="13">
        <v>119</v>
      </c>
      <c r="BQ85" s="13">
        <v>34</v>
      </c>
      <c r="BR85" s="13">
        <v>1</v>
      </c>
      <c r="BS85" s="13">
        <v>0</v>
      </c>
      <c r="BT85" s="13">
        <v>0</v>
      </c>
      <c r="BU85" s="13">
        <v>0</v>
      </c>
      <c r="BV85" s="13">
        <v>0</v>
      </c>
      <c r="BW85" s="13">
        <v>0</v>
      </c>
      <c r="BX85" s="13">
        <v>0</v>
      </c>
      <c r="BY85" s="13">
        <v>0</v>
      </c>
      <c r="BZ85" s="13">
        <v>0</v>
      </c>
      <c r="CA85" s="13">
        <v>0</v>
      </c>
      <c r="CB85" s="13">
        <v>0</v>
      </c>
      <c r="CC85" s="13">
        <v>0</v>
      </c>
      <c r="CD85" s="13">
        <v>0</v>
      </c>
      <c r="CE85" s="13">
        <v>0</v>
      </c>
      <c r="CF85" s="13">
        <v>0</v>
      </c>
      <c r="CG85" s="13">
        <v>0</v>
      </c>
      <c r="CH85" s="13">
        <v>0</v>
      </c>
      <c r="CI85" s="13">
        <v>0</v>
      </c>
      <c r="CJ85" s="13">
        <v>0</v>
      </c>
      <c r="CK85" s="13">
        <v>0</v>
      </c>
      <c r="CL85" s="13">
        <v>0</v>
      </c>
      <c r="CM85" s="13">
        <v>0</v>
      </c>
      <c r="CN85" s="13">
        <v>0</v>
      </c>
      <c r="CO85" s="13">
        <v>0</v>
      </c>
      <c r="CP85" s="13">
        <v>0</v>
      </c>
      <c r="CQ85" s="13">
        <v>0</v>
      </c>
      <c r="CR85" s="13">
        <v>0</v>
      </c>
      <c r="CS85" s="13">
        <v>0</v>
      </c>
      <c r="CT85" s="13">
        <v>0</v>
      </c>
      <c r="CU85" s="13">
        <v>0</v>
      </c>
      <c r="CV85" s="14">
        <v>2058</v>
      </c>
      <c r="CW85" s="13">
        <v>0</v>
      </c>
      <c r="CX85" s="13">
        <v>0</v>
      </c>
      <c r="CY85" s="13">
        <v>0</v>
      </c>
      <c r="CZ85" s="13">
        <v>0</v>
      </c>
      <c r="DA85" s="13">
        <v>0</v>
      </c>
      <c r="DB85" s="14">
        <v>0</v>
      </c>
      <c r="DC85" s="14">
        <v>2058</v>
      </c>
      <c r="DD85" s="13">
        <v>0</v>
      </c>
      <c r="DE85" s="13">
        <v>0</v>
      </c>
      <c r="DF85" s="13">
        <v>0</v>
      </c>
      <c r="DG85" s="13">
        <v>0</v>
      </c>
      <c r="DH85" s="13">
        <v>0</v>
      </c>
      <c r="DI85" s="13">
        <v>0</v>
      </c>
      <c r="DJ85" s="14">
        <v>0</v>
      </c>
      <c r="DK85" s="13">
        <v>0</v>
      </c>
      <c r="DL85" s="13">
        <v>0</v>
      </c>
      <c r="DM85" s="13">
        <v>0</v>
      </c>
      <c r="DN85" s="14">
        <v>2058</v>
      </c>
    </row>
    <row r="86" spans="1:118" x14ac:dyDescent="0.2">
      <c r="A86" s="10"/>
      <c r="B86" s="11" t="s">
        <v>487</v>
      </c>
      <c r="C86" s="12" t="s">
        <v>488</v>
      </c>
      <c r="D86" s="13">
        <v>9</v>
      </c>
      <c r="E86" s="13">
        <v>2</v>
      </c>
      <c r="F86" s="13">
        <v>0</v>
      </c>
      <c r="G86" s="13">
        <v>2</v>
      </c>
      <c r="H86" s="13">
        <v>0</v>
      </c>
      <c r="I86" s="13">
        <v>1</v>
      </c>
      <c r="J86" s="13">
        <v>1</v>
      </c>
      <c r="K86" s="13">
        <v>1</v>
      </c>
      <c r="L86" s="13">
        <v>0</v>
      </c>
      <c r="M86" s="13">
        <v>1</v>
      </c>
      <c r="N86" s="13">
        <v>14</v>
      </c>
      <c r="O86" s="13">
        <v>0</v>
      </c>
      <c r="P86" s="13">
        <v>4</v>
      </c>
      <c r="Q86" s="13">
        <v>181</v>
      </c>
      <c r="R86" s="13">
        <v>0</v>
      </c>
      <c r="S86" s="13">
        <v>1</v>
      </c>
      <c r="T86" s="13">
        <v>49</v>
      </c>
      <c r="U86" s="13">
        <v>0</v>
      </c>
      <c r="V86" s="13">
        <v>0</v>
      </c>
      <c r="W86" s="13">
        <v>1</v>
      </c>
      <c r="X86" s="13">
        <v>37</v>
      </c>
      <c r="Y86" s="13">
        <v>0</v>
      </c>
      <c r="Z86" s="13">
        <v>0</v>
      </c>
      <c r="AA86" s="13">
        <v>0</v>
      </c>
      <c r="AB86" s="13">
        <v>0</v>
      </c>
      <c r="AC86" s="13">
        <v>2</v>
      </c>
      <c r="AD86" s="13">
        <v>2</v>
      </c>
      <c r="AE86" s="13">
        <v>95</v>
      </c>
      <c r="AF86" s="13">
        <v>0</v>
      </c>
      <c r="AG86" s="13">
        <v>0</v>
      </c>
      <c r="AH86" s="13">
        <v>13</v>
      </c>
      <c r="AI86" s="13">
        <v>13</v>
      </c>
      <c r="AJ86" s="13">
        <v>1</v>
      </c>
      <c r="AK86" s="13">
        <v>22</v>
      </c>
      <c r="AL86" s="13">
        <v>4</v>
      </c>
      <c r="AM86" s="13">
        <v>76</v>
      </c>
      <c r="AN86" s="13">
        <v>0</v>
      </c>
      <c r="AO86" s="13">
        <v>1</v>
      </c>
      <c r="AP86" s="13">
        <v>3</v>
      </c>
      <c r="AQ86" s="13">
        <v>0</v>
      </c>
      <c r="AR86" s="13">
        <v>30</v>
      </c>
      <c r="AS86" s="13">
        <v>0</v>
      </c>
      <c r="AT86" s="13">
        <v>1</v>
      </c>
      <c r="AU86" s="13">
        <v>0</v>
      </c>
      <c r="AV86" s="13">
        <v>80</v>
      </c>
      <c r="AW86" s="13">
        <v>2</v>
      </c>
      <c r="AX86" s="13">
        <v>0</v>
      </c>
      <c r="AY86" s="13">
        <v>0</v>
      </c>
      <c r="AZ86" s="13">
        <v>1</v>
      </c>
      <c r="BA86" s="13">
        <v>3</v>
      </c>
      <c r="BB86" s="13">
        <v>108</v>
      </c>
      <c r="BC86" s="13">
        <v>0</v>
      </c>
      <c r="BD86" s="13">
        <v>0</v>
      </c>
      <c r="BE86" s="13">
        <v>0</v>
      </c>
      <c r="BF86" s="13">
        <v>1</v>
      </c>
      <c r="BG86" s="13">
        <v>1</v>
      </c>
      <c r="BH86" s="13">
        <v>45</v>
      </c>
      <c r="BI86" s="13">
        <v>0</v>
      </c>
      <c r="BJ86" s="13">
        <v>0</v>
      </c>
      <c r="BK86" s="13">
        <v>158</v>
      </c>
      <c r="BL86" s="13">
        <v>6</v>
      </c>
      <c r="BM86" s="13">
        <v>2</v>
      </c>
      <c r="BN86" s="13">
        <v>279</v>
      </c>
      <c r="BO86" s="13">
        <v>1</v>
      </c>
      <c r="BP86" s="13">
        <v>0</v>
      </c>
      <c r="BQ86" s="13">
        <v>0</v>
      </c>
      <c r="BR86" s="13">
        <v>16</v>
      </c>
      <c r="BS86" s="13">
        <v>2</v>
      </c>
      <c r="BT86" s="13">
        <v>0</v>
      </c>
      <c r="BU86" s="13">
        <v>4</v>
      </c>
      <c r="BV86" s="13">
        <v>1</v>
      </c>
      <c r="BW86" s="13">
        <v>0</v>
      </c>
      <c r="BX86" s="13">
        <v>4</v>
      </c>
      <c r="BY86" s="13">
        <v>0</v>
      </c>
      <c r="BZ86" s="13">
        <v>0</v>
      </c>
      <c r="CA86" s="13">
        <v>9</v>
      </c>
      <c r="CB86" s="13">
        <v>11</v>
      </c>
      <c r="CC86" s="13">
        <v>6</v>
      </c>
      <c r="CD86" s="13">
        <v>14</v>
      </c>
      <c r="CE86" s="13">
        <v>3</v>
      </c>
      <c r="CF86" s="13">
        <v>23</v>
      </c>
      <c r="CG86" s="13">
        <v>8</v>
      </c>
      <c r="CH86" s="13">
        <v>0</v>
      </c>
      <c r="CI86" s="13">
        <v>1</v>
      </c>
      <c r="CJ86" s="13">
        <v>2</v>
      </c>
      <c r="CK86" s="13">
        <v>215</v>
      </c>
      <c r="CL86" s="13">
        <v>5</v>
      </c>
      <c r="CM86" s="13">
        <v>1</v>
      </c>
      <c r="CN86" s="13">
        <v>0</v>
      </c>
      <c r="CO86" s="13">
        <v>0</v>
      </c>
      <c r="CP86" s="13">
        <v>1</v>
      </c>
      <c r="CQ86" s="13">
        <v>34</v>
      </c>
      <c r="CR86" s="13">
        <v>5</v>
      </c>
      <c r="CS86" s="13">
        <v>3</v>
      </c>
      <c r="CT86" s="13">
        <v>4</v>
      </c>
      <c r="CU86" s="13">
        <v>7</v>
      </c>
      <c r="CV86" s="14">
        <v>1633</v>
      </c>
      <c r="CW86" s="13">
        <v>0</v>
      </c>
      <c r="CX86" s="13">
        <v>0</v>
      </c>
      <c r="CY86" s="13">
        <v>0</v>
      </c>
      <c r="CZ86" s="13">
        <v>0</v>
      </c>
      <c r="DA86" s="13">
        <v>0</v>
      </c>
      <c r="DB86" s="14">
        <v>0</v>
      </c>
      <c r="DC86" s="14">
        <v>1633</v>
      </c>
      <c r="DD86" s="13">
        <v>0</v>
      </c>
      <c r="DE86" s="13">
        <v>0</v>
      </c>
      <c r="DF86" s="13">
        <v>1</v>
      </c>
      <c r="DG86" s="13">
        <v>0</v>
      </c>
      <c r="DH86" s="13">
        <v>0</v>
      </c>
      <c r="DI86" s="13">
        <v>0</v>
      </c>
      <c r="DJ86" s="14">
        <v>1</v>
      </c>
      <c r="DK86" s="13">
        <v>0</v>
      </c>
      <c r="DL86" s="13">
        <v>9</v>
      </c>
      <c r="DM86" s="13">
        <v>0</v>
      </c>
      <c r="DN86" s="14">
        <v>1643</v>
      </c>
    </row>
    <row r="87" spans="1:118" x14ac:dyDescent="0.2">
      <c r="A87" s="10"/>
      <c r="B87" s="11" t="s">
        <v>489</v>
      </c>
      <c r="C87" s="12" t="s">
        <v>490</v>
      </c>
      <c r="D87" s="13">
        <v>5</v>
      </c>
      <c r="E87" s="13">
        <v>0</v>
      </c>
      <c r="F87" s="13">
        <v>1</v>
      </c>
      <c r="G87" s="13">
        <v>5</v>
      </c>
      <c r="H87" s="13">
        <v>4</v>
      </c>
      <c r="I87" s="13">
        <v>147</v>
      </c>
      <c r="J87" s="13">
        <v>2</v>
      </c>
      <c r="K87" s="13">
        <v>0</v>
      </c>
      <c r="L87" s="13">
        <v>1</v>
      </c>
      <c r="M87" s="13">
        <v>2</v>
      </c>
      <c r="N87" s="13">
        <v>17</v>
      </c>
      <c r="O87" s="13">
        <v>1</v>
      </c>
      <c r="P87" s="13">
        <v>153</v>
      </c>
      <c r="Q87" s="13">
        <v>15</v>
      </c>
      <c r="R87" s="13">
        <v>0</v>
      </c>
      <c r="S87" s="13">
        <v>0</v>
      </c>
      <c r="T87" s="13">
        <v>7</v>
      </c>
      <c r="U87" s="13">
        <v>0</v>
      </c>
      <c r="V87" s="13">
        <v>0</v>
      </c>
      <c r="W87" s="13">
        <v>1</v>
      </c>
      <c r="X87" s="13">
        <v>3</v>
      </c>
      <c r="Y87" s="13">
        <v>1</v>
      </c>
      <c r="Z87" s="13">
        <v>0</v>
      </c>
      <c r="AA87" s="13">
        <v>0</v>
      </c>
      <c r="AB87" s="13">
        <v>4</v>
      </c>
      <c r="AC87" s="13">
        <v>6</v>
      </c>
      <c r="AD87" s="13">
        <v>2</v>
      </c>
      <c r="AE87" s="13">
        <v>106</v>
      </c>
      <c r="AF87" s="13">
        <v>3</v>
      </c>
      <c r="AG87" s="13">
        <v>2</v>
      </c>
      <c r="AH87" s="13">
        <v>18</v>
      </c>
      <c r="AI87" s="13">
        <v>38</v>
      </c>
      <c r="AJ87" s="13">
        <v>1</v>
      </c>
      <c r="AK87" s="13">
        <v>57</v>
      </c>
      <c r="AL87" s="13">
        <v>124</v>
      </c>
      <c r="AM87" s="13">
        <v>11</v>
      </c>
      <c r="AN87" s="13">
        <v>0</v>
      </c>
      <c r="AO87" s="13">
        <v>2</v>
      </c>
      <c r="AP87" s="13">
        <v>1</v>
      </c>
      <c r="AQ87" s="13">
        <v>2</v>
      </c>
      <c r="AR87" s="13">
        <v>10</v>
      </c>
      <c r="AS87" s="13">
        <v>0</v>
      </c>
      <c r="AT87" s="13">
        <v>1</v>
      </c>
      <c r="AU87" s="13">
        <v>0</v>
      </c>
      <c r="AV87" s="13">
        <v>17</v>
      </c>
      <c r="AW87" s="13">
        <v>0</v>
      </c>
      <c r="AX87" s="13">
        <v>1</v>
      </c>
      <c r="AY87" s="13">
        <v>1</v>
      </c>
      <c r="AZ87" s="13">
        <v>1</v>
      </c>
      <c r="BA87" s="13">
        <v>18</v>
      </c>
      <c r="BB87" s="13">
        <v>103</v>
      </c>
      <c r="BC87" s="13">
        <v>1</v>
      </c>
      <c r="BD87" s="13">
        <v>3</v>
      </c>
      <c r="BE87" s="13">
        <v>1</v>
      </c>
      <c r="BF87" s="13">
        <v>0</v>
      </c>
      <c r="BG87" s="13">
        <v>0</v>
      </c>
      <c r="BH87" s="13">
        <v>58</v>
      </c>
      <c r="BI87" s="13">
        <v>2</v>
      </c>
      <c r="BJ87" s="13">
        <v>0</v>
      </c>
      <c r="BK87" s="13">
        <v>6</v>
      </c>
      <c r="BL87" s="13">
        <v>4</v>
      </c>
      <c r="BM87" s="13">
        <v>1</v>
      </c>
      <c r="BN87" s="13">
        <v>7</v>
      </c>
      <c r="BO87" s="13">
        <v>5</v>
      </c>
      <c r="BP87" s="13">
        <v>44</v>
      </c>
      <c r="BQ87" s="13">
        <v>1</v>
      </c>
      <c r="BR87" s="13">
        <v>33</v>
      </c>
      <c r="BS87" s="13">
        <v>2</v>
      </c>
      <c r="BT87" s="13">
        <v>3</v>
      </c>
      <c r="BU87" s="13">
        <v>3</v>
      </c>
      <c r="BV87" s="13">
        <v>1</v>
      </c>
      <c r="BW87" s="13">
        <v>0</v>
      </c>
      <c r="BX87" s="13">
        <v>1</v>
      </c>
      <c r="BY87" s="13">
        <v>3</v>
      </c>
      <c r="BZ87" s="13">
        <v>2</v>
      </c>
      <c r="CA87" s="13">
        <v>14</v>
      </c>
      <c r="CB87" s="13">
        <v>26</v>
      </c>
      <c r="CC87" s="13">
        <v>1</v>
      </c>
      <c r="CD87" s="13">
        <v>5</v>
      </c>
      <c r="CE87" s="13">
        <v>5</v>
      </c>
      <c r="CF87" s="13">
        <v>1</v>
      </c>
      <c r="CG87" s="13">
        <v>3</v>
      </c>
      <c r="CH87" s="13">
        <v>3</v>
      </c>
      <c r="CI87" s="13">
        <v>51</v>
      </c>
      <c r="CJ87" s="13">
        <v>4</v>
      </c>
      <c r="CK87" s="13">
        <v>5</v>
      </c>
      <c r="CL87" s="13">
        <v>1</v>
      </c>
      <c r="CM87" s="13">
        <v>1</v>
      </c>
      <c r="CN87" s="13">
        <v>0</v>
      </c>
      <c r="CO87" s="13">
        <v>2</v>
      </c>
      <c r="CP87" s="13">
        <v>0</v>
      </c>
      <c r="CQ87" s="13">
        <v>2</v>
      </c>
      <c r="CR87" s="13">
        <v>5</v>
      </c>
      <c r="CS87" s="13">
        <v>4</v>
      </c>
      <c r="CT87" s="13">
        <v>3</v>
      </c>
      <c r="CU87" s="13">
        <v>1</v>
      </c>
      <c r="CV87" s="14">
        <v>1212</v>
      </c>
      <c r="CW87" s="13">
        <v>3</v>
      </c>
      <c r="CX87" s="13">
        <v>1</v>
      </c>
      <c r="CY87" s="13">
        <v>0</v>
      </c>
      <c r="CZ87" s="13">
        <v>2</v>
      </c>
      <c r="DA87" s="13">
        <v>4</v>
      </c>
      <c r="DB87" s="14">
        <v>10</v>
      </c>
      <c r="DC87" s="14">
        <v>1222</v>
      </c>
      <c r="DD87" s="13">
        <v>0</v>
      </c>
      <c r="DE87" s="13">
        <v>0</v>
      </c>
      <c r="DF87" s="13">
        <v>0</v>
      </c>
      <c r="DG87" s="13">
        <v>0</v>
      </c>
      <c r="DH87" s="13">
        <v>0</v>
      </c>
      <c r="DI87" s="13">
        <v>15</v>
      </c>
      <c r="DJ87" s="14">
        <v>15</v>
      </c>
      <c r="DK87" s="13">
        <v>4</v>
      </c>
      <c r="DL87" s="13">
        <v>5</v>
      </c>
      <c r="DM87" s="13">
        <v>0</v>
      </c>
      <c r="DN87" s="14">
        <v>1246</v>
      </c>
    </row>
    <row r="88" spans="1:118" x14ac:dyDescent="0.2">
      <c r="A88" s="10"/>
      <c r="B88" s="11" t="s">
        <v>491</v>
      </c>
      <c r="C88" s="12" t="s">
        <v>492</v>
      </c>
      <c r="D88" s="13">
        <v>53</v>
      </c>
      <c r="E88" s="13">
        <v>0</v>
      </c>
      <c r="F88" s="13">
        <v>0</v>
      </c>
      <c r="G88" s="13">
        <v>1</v>
      </c>
      <c r="H88" s="13">
        <v>0</v>
      </c>
      <c r="I88" s="13">
        <v>0</v>
      </c>
      <c r="J88" s="13">
        <v>173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4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1</v>
      </c>
      <c r="Y88" s="13">
        <v>0</v>
      </c>
      <c r="Z88" s="13">
        <v>0</v>
      </c>
      <c r="AA88" s="13">
        <v>66</v>
      </c>
      <c r="AB88" s="13">
        <v>3</v>
      </c>
      <c r="AC88" s="13">
        <v>0</v>
      </c>
      <c r="AD88" s="13">
        <v>0</v>
      </c>
      <c r="AE88" s="13">
        <v>0</v>
      </c>
      <c r="AF88" s="13">
        <v>0</v>
      </c>
      <c r="AG88" s="13">
        <v>0</v>
      </c>
      <c r="AH88" s="13">
        <v>0</v>
      </c>
      <c r="AI88" s="13">
        <v>1</v>
      </c>
      <c r="AJ88" s="13">
        <v>0</v>
      </c>
      <c r="AK88" s="13">
        <v>0</v>
      </c>
      <c r="AL88" s="13">
        <v>0</v>
      </c>
      <c r="AM88" s="13">
        <v>26</v>
      </c>
      <c r="AN88" s="13">
        <v>0</v>
      </c>
      <c r="AO88" s="13">
        <v>0</v>
      </c>
      <c r="AP88" s="13">
        <v>11</v>
      </c>
      <c r="AQ88" s="13">
        <v>0</v>
      </c>
      <c r="AR88" s="13">
        <v>0</v>
      </c>
      <c r="AS88" s="13">
        <v>0</v>
      </c>
      <c r="AT88" s="13">
        <v>6</v>
      </c>
      <c r="AU88" s="13">
        <v>0</v>
      </c>
      <c r="AV88" s="13">
        <v>0</v>
      </c>
      <c r="AW88" s="13">
        <v>0</v>
      </c>
      <c r="AX88" s="13">
        <v>0</v>
      </c>
      <c r="AY88" s="13">
        <v>0</v>
      </c>
      <c r="AZ88" s="13">
        <v>0</v>
      </c>
      <c r="BA88" s="13">
        <v>0</v>
      </c>
      <c r="BB88" s="13">
        <v>0</v>
      </c>
      <c r="BC88" s="13">
        <v>0</v>
      </c>
      <c r="BD88" s="13">
        <v>0</v>
      </c>
      <c r="BE88" s="13">
        <v>0</v>
      </c>
      <c r="BF88" s="13">
        <v>0</v>
      </c>
      <c r="BG88" s="13">
        <v>0</v>
      </c>
      <c r="BH88" s="13">
        <v>0</v>
      </c>
      <c r="BI88" s="13">
        <v>0</v>
      </c>
      <c r="BJ88" s="13">
        <v>89</v>
      </c>
      <c r="BK88" s="13">
        <v>0</v>
      </c>
      <c r="BL88" s="13">
        <v>0</v>
      </c>
      <c r="BM88" s="13">
        <v>0</v>
      </c>
      <c r="BN88" s="13">
        <v>0</v>
      </c>
      <c r="BO88" s="13">
        <v>1</v>
      </c>
      <c r="BP88" s="13">
        <v>0</v>
      </c>
      <c r="BQ88" s="13">
        <v>0</v>
      </c>
      <c r="BR88" s="13">
        <v>0</v>
      </c>
      <c r="BS88" s="13">
        <v>0</v>
      </c>
      <c r="BT88" s="13">
        <v>0</v>
      </c>
      <c r="BU88" s="13">
        <v>97</v>
      </c>
      <c r="BV88" s="13">
        <v>1</v>
      </c>
      <c r="BW88" s="13">
        <v>37</v>
      </c>
      <c r="BX88" s="13">
        <v>0</v>
      </c>
      <c r="BY88" s="13">
        <v>85</v>
      </c>
      <c r="BZ88" s="13">
        <v>191</v>
      </c>
      <c r="CA88" s="13">
        <v>2</v>
      </c>
      <c r="CB88" s="13">
        <v>0</v>
      </c>
      <c r="CC88" s="13">
        <v>0</v>
      </c>
      <c r="CD88" s="13">
        <v>5</v>
      </c>
      <c r="CE88" s="13">
        <v>0</v>
      </c>
      <c r="CF88" s="13">
        <v>0</v>
      </c>
      <c r="CG88" s="13">
        <v>0</v>
      </c>
      <c r="CH88" s="13">
        <v>0</v>
      </c>
      <c r="CI88" s="13">
        <v>2</v>
      </c>
      <c r="CJ88" s="13">
        <v>0</v>
      </c>
      <c r="CK88" s="13">
        <v>0</v>
      </c>
      <c r="CL88" s="13">
        <v>0</v>
      </c>
      <c r="CM88" s="13">
        <v>0</v>
      </c>
      <c r="CN88" s="13">
        <v>0</v>
      </c>
      <c r="CO88" s="13">
        <v>8</v>
      </c>
      <c r="CP88" s="13">
        <v>0</v>
      </c>
      <c r="CQ88" s="13">
        <v>53</v>
      </c>
      <c r="CR88" s="13">
        <v>31</v>
      </c>
      <c r="CS88" s="13">
        <v>1</v>
      </c>
      <c r="CT88" s="13">
        <v>0</v>
      </c>
      <c r="CU88" s="13">
        <v>0</v>
      </c>
      <c r="CV88" s="14">
        <v>948</v>
      </c>
      <c r="CW88" s="13">
        <v>0</v>
      </c>
      <c r="CX88" s="13">
        <v>0</v>
      </c>
      <c r="CY88" s="13">
        <v>0</v>
      </c>
      <c r="CZ88" s="13">
        <v>0</v>
      </c>
      <c r="DA88" s="13">
        <v>0</v>
      </c>
      <c r="DB88" s="14">
        <v>0</v>
      </c>
      <c r="DC88" s="14">
        <v>948</v>
      </c>
      <c r="DD88" s="13">
        <v>0</v>
      </c>
      <c r="DE88" s="13">
        <v>0</v>
      </c>
      <c r="DF88" s="13">
        <v>0</v>
      </c>
      <c r="DG88" s="13">
        <v>0</v>
      </c>
      <c r="DH88" s="13">
        <v>0</v>
      </c>
      <c r="DI88" s="13">
        <v>0</v>
      </c>
      <c r="DJ88" s="14">
        <v>0</v>
      </c>
      <c r="DK88" s="13">
        <v>0</v>
      </c>
      <c r="DL88" s="13">
        <v>0</v>
      </c>
      <c r="DM88" s="13">
        <v>0</v>
      </c>
      <c r="DN88" s="14">
        <v>948</v>
      </c>
    </row>
    <row r="89" spans="1:118" x14ac:dyDescent="0.2">
      <c r="A89" s="10"/>
      <c r="B89" s="11" t="s">
        <v>493</v>
      </c>
      <c r="C89" s="12" t="s">
        <v>494</v>
      </c>
      <c r="D89" s="13">
        <v>0</v>
      </c>
      <c r="E89" s="13">
        <v>0</v>
      </c>
      <c r="F89" s="13">
        <v>1</v>
      </c>
      <c r="G89" s="13">
        <v>0</v>
      </c>
      <c r="H89" s="13">
        <v>0</v>
      </c>
      <c r="I89" s="13">
        <v>3</v>
      </c>
      <c r="J89" s="13">
        <v>6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27</v>
      </c>
      <c r="Q89" s="13">
        <v>22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1</v>
      </c>
      <c r="AA89" s="13">
        <v>0</v>
      </c>
      <c r="AB89" s="13">
        <v>0</v>
      </c>
      <c r="AC89" s="13">
        <v>3</v>
      </c>
      <c r="AD89" s="13">
        <v>3</v>
      </c>
      <c r="AE89" s="13">
        <v>11</v>
      </c>
      <c r="AF89" s="13">
        <v>0</v>
      </c>
      <c r="AG89" s="13">
        <v>0</v>
      </c>
      <c r="AH89" s="13">
        <v>1</v>
      </c>
      <c r="AI89" s="13">
        <v>7</v>
      </c>
      <c r="AJ89" s="13">
        <v>3</v>
      </c>
      <c r="AK89" s="13">
        <v>5</v>
      </c>
      <c r="AL89" s="13">
        <v>0</v>
      </c>
      <c r="AM89" s="13">
        <v>2</v>
      </c>
      <c r="AN89" s="13">
        <v>0</v>
      </c>
      <c r="AO89" s="13">
        <v>6</v>
      </c>
      <c r="AP89" s="13">
        <v>0</v>
      </c>
      <c r="AQ89" s="13">
        <v>0</v>
      </c>
      <c r="AR89" s="13">
        <v>0</v>
      </c>
      <c r="AS89" s="13">
        <v>0</v>
      </c>
      <c r="AT89" s="13">
        <v>0</v>
      </c>
      <c r="AU89" s="13">
        <v>0</v>
      </c>
      <c r="AV89" s="13">
        <v>11</v>
      </c>
      <c r="AW89" s="13">
        <v>5</v>
      </c>
      <c r="AX89" s="13">
        <v>0</v>
      </c>
      <c r="AY89" s="13">
        <v>0</v>
      </c>
      <c r="AZ89" s="13">
        <v>0</v>
      </c>
      <c r="BA89" s="13">
        <v>0</v>
      </c>
      <c r="BB89" s="13">
        <v>0</v>
      </c>
      <c r="BC89" s="13">
        <v>0</v>
      </c>
      <c r="BD89" s="13">
        <v>0</v>
      </c>
      <c r="BE89" s="13">
        <v>1</v>
      </c>
      <c r="BF89" s="13">
        <v>0</v>
      </c>
      <c r="BG89" s="13">
        <v>0</v>
      </c>
      <c r="BH89" s="13">
        <v>0</v>
      </c>
      <c r="BI89" s="13">
        <v>0</v>
      </c>
      <c r="BJ89" s="13">
        <v>0</v>
      </c>
      <c r="BK89" s="13">
        <v>2</v>
      </c>
      <c r="BL89" s="13">
        <v>53</v>
      </c>
      <c r="BM89" s="13">
        <v>1</v>
      </c>
      <c r="BN89" s="13">
        <v>3</v>
      </c>
      <c r="BO89" s="13">
        <v>0</v>
      </c>
      <c r="BP89" s="13">
        <v>0</v>
      </c>
      <c r="BQ89" s="13">
        <v>0</v>
      </c>
      <c r="BR89" s="13">
        <v>0</v>
      </c>
      <c r="BS89" s="13">
        <v>0</v>
      </c>
      <c r="BT89" s="13">
        <v>0</v>
      </c>
      <c r="BU89" s="13">
        <v>2</v>
      </c>
      <c r="BV89" s="13">
        <v>0</v>
      </c>
      <c r="BW89" s="13">
        <v>0</v>
      </c>
      <c r="BX89" s="13">
        <v>1</v>
      </c>
      <c r="BY89" s="13">
        <v>0</v>
      </c>
      <c r="BZ89" s="13">
        <v>6</v>
      </c>
      <c r="CA89" s="13">
        <v>200</v>
      </c>
      <c r="CB89" s="13">
        <v>0</v>
      </c>
      <c r="CC89" s="13">
        <v>10</v>
      </c>
      <c r="CD89" s="13">
        <v>32</v>
      </c>
      <c r="CE89" s="13">
        <v>0</v>
      </c>
      <c r="CF89" s="13">
        <v>0</v>
      </c>
      <c r="CG89" s="13">
        <v>0</v>
      </c>
      <c r="CH89" s="13">
        <v>1</v>
      </c>
      <c r="CI89" s="13">
        <v>18</v>
      </c>
      <c r="CJ89" s="13">
        <v>1</v>
      </c>
      <c r="CK89" s="13">
        <v>0</v>
      </c>
      <c r="CL89" s="13">
        <v>0</v>
      </c>
      <c r="CM89" s="13">
        <v>0</v>
      </c>
      <c r="CN89" s="13">
        <v>0</v>
      </c>
      <c r="CO89" s="13">
        <v>2</v>
      </c>
      <c r="CP89" s="13">
        <v>0</v>
      </c>
      <c r="CQ89" s="13">
        <v>18</v>
      </c>
      <c r="CR89" s="13">
        <v>72</v>
      </c>
      <c r="CS89" s="13">
        <v>1</v>
      </c>
      <c r="CT89" s="13">
        <v>4</v>
      </c>
      <c r="CU89" s="13">
        <v>4</v>
      </c>
      <c r="CV89" s="14">
        <v>549</v>
      </c>
      <c r="CW89" s="13">
        <v>0</v>
      </c>
      <c r="CX89" s="13">
        <v>0</v>
      </c>
      <c r="CY89" s="13">
        <v>0</v>
      </c>
      <c r="CZ89" s="13">
        <v>0</v>
      </c>
      <c r="DA89" s="13">
        <v>0</v>
      </c>
      <c r="DB89" s="14">
        <v>0</v>
      </c>
      <c r="DC89" s="14">
        <v>549</v>
      </c>
      <c r="DD89" s="13">
        <v>0</v>
      </c>
      <c r="DE89" s="13">
        <v>0</v>
      </c>
      <c r="DF89" s="13">
        <v>0</v>
      </c>
      <c r="DG89" s="13">
        <v>0</v>
      </c>
      <c r="DH89" s="13">
        <v>0</v>
      </c>
      <c r="DI89" s="13">
        <v>0</v>
      </c>
      <c r="DJ89" s="14">
        <v>0</v>
      </c>
      <c r="DK89" s="13">
        <v>2</v>
      </c>
      <c r="DL89" s="13">
        <v>301</v>
      </c>
      <c r="DM89" s="13">
        <v>0</v>
      </c>
      <c r="DN89" s="14">
        <v>852</v>
      </c>
    </row>
    <row r="90" spans="1:118" x14ac:dyDescent="0.2">
      <c r="A90" s="10"/>
      <c r="B90" s="11" t="s">
        <v>495</v>
      </c>
      <c r="C90" s="12" t="s">
        <v>496</v>
      </c>
      <c r="D90" s="13">
        <v>0</v>
      </c>
      <c r="E90" s="13">
        <v>6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>
        <v>0</v>
      </c>
      <c r="AJ90" s="13">
        <v>0</v>
      </c>
      <c r="AK90" s="13">
        <v>0</v>
      </c>
      <c r="AL90" s="13">
        <v>0</v>
      </c>
      <c r="AM90" s="13">
        <v>0</v>
      </c>
      <c r="AN90" s="13">
        <v>0</v>
      </c>
      <c r="AO90" s="13">
        <v>0</v>
      </c>
      <c r="AP90" s="13">
        <v>0</v>
      </c>
      <c r="AQ90" s="13">
        <v>0</v>
      </c>
      <c r="AR90" s="13">
        <v>0</v>
      </c>
      <c r="AS90" s="13">
        <v>0</v>
      </c>
      <c r="AT90" s="13">
        <v>0</v>
      </c>
      <c r="AU90" s="13">
        <v>0</v>
      </c>
      <c r="AV90" s="13">
        <v>0</v>
      </c>
      <c r="AW90" s="13">
        <v>0</v>
      </c>
      <c r="AX90" s="13">
        <v>0</v>
      </c>
      <c r="AY90" s="13">
        <v>0</v>
      </c>
      <c r="AZ90" s="13">
        <v>0</v>
      </c>
      <c r="BA90" s="13">
        <v>0</v>
      </c>
      <c r="BB90" s="13">
        <v>0</v>
      </c>
      <c r="BC90" s="13">
        <v>0</v>
      </c>
      <c r="BD90" s="13">
        <v>0</v>
      </c>
      <c r="BE90" s="13">
        <v>0</v>
      </c>
      <c r="BF90" s="13">
        <v>0</v>
      </c>
      <c r="BG90" s="13">
        <v>0</v>
      </c>
      <c r="BH90" s="13">
        <v>0</v>
      </c>
      <c r="BI90" s="13">
        <v>0</v>
      </c>
      <c r="BJ90" s="13">
        <v>0</v>
      </c>
      <c r="BK90" s="13">
        <v>0</v>
      </c>
      <c r="BL90" s="13">
        <v>93</v>
      </c>
      <c r="BM90" s="13">
        <v>0</v>
      </c>
      <c r="BN90" s="13">
        <v>0</v>
      </c>
      <c r="BO90" s="13">
        <v>0</v>
      </c>
      <c r="BP90" s="13">
        <v>0</v>
      </c>
      <c r="BQ90" s="13">
        <v>0</v>
      </c>
      <c r="BR90" s="13">
        <v>0</v>
      </c>
      <c r="BS90" s="13">
        <v>0</v>
      </c>
      <c r="BT90" s="13">
        <v>0</v>
      </c>
      <c r="BU90" s="13">
        <v>0</v>
      </c>
      <c r="BV90" s="13">
        <v>0</v>
      </c>
      <c r="BW90" s="13">
        <v>0</v>
      </c>
      <c r="BX90" s="13">
        <v>0</v>
      </c>
      <c r="BY90" s="13">
        <v>0</v>
      </c>
      <c r="BZ90" s="13">
        <v>1</v>
      </c>
      <c r="CA90" s="13">
        <v>6</v>
      </c>
      <c r="CB90" s="13">
        <v>0</v>
      </c>
      <c r="CC90" s="13">
        <v>0</v>
      </c>
      <c r="CD90" s="13">
        <v>0</v>
      </c>
      <c r="CE90" s="13">
        <v>0</v>
      </c>
      <c r="CF90" s="13">
        <v>733</v>
      </c>
      <c r="CG90" s="13">
        <v>0</v>
      </c>
      <c r="CH90" s="13">
        <v>0</v>
      </c>
      <c r="CI90" s="13">
        <v>0</v>
      </c>
      <c r="CJ90" s="13">
        <v>0</v>
      </c>
      <c r="CK90" s="13">
        <v>0</v>
      </c>
      <c r="CL90" s="13">
        <v>0</v>
      </c>
      <c r="CM90" s="13">
        <v>0</v>
      </c>
      <c r="CN90" s="13">
        <v>0</v>
      </c>
      <c r="CO90" s="13">
        <v>0</v>
      </c>
      <c r="CP90" s="13">
        <v>0</v>
      </c>
      <c r="CQ90" s="13">
        <v>0</v>
      </c>
      <c r="CR90" s="13">
        <v>3</v>
      </c>
      <c r="CS90" s="13">
        <v>0</v>
      </c>
      <c r="CT90" s="13">
        <v>0</v>
      </c>
      <c r="CU90" s="13">
        <v>0</v>
      </c>
      <c r="CV90" s="14">
        <v>842</v>
      </c>
      <c r="CW90" s="13">
        <v>0</v>
      </c>
      <c r="CX90" s="13">
        <v>0</v>
      </c>
      <c r="CY90" s="13">
        <v>0</v>
      </c>
      <c r="CZ90" s="13">
        <v>0</v>
      </c>
      <c r="DA90" s="13">
        <v>0</v>
      </c>
      <c r="DB90" s="14">
        <v>0</v>
      </c>
      <c r="DC90" s="14">
        <v>842</v>
      </c>
      <c r="DD90" s="13">
        <v>0</v>
      </c>
      <c r="DE90" s="13">
        <v>0</v>
      </c>
      <c r="DF90" s="13">
        <v>0</v>
      </c>
      <c r="DG90" s="13">
        <v>0</v>
      </c>
      <c r="DH90" s="13">
        <v>0</v>
      </c>
      <c r="DI90" s="13">
        <v>0</v>
      </c>
      <c r="DJ90" s="14">
        <v>0</v>
      </c>
      <c r="DK90" s="13">
        <v>0</v>
      </c>
      <c r="DL90" s="13">
        <v>0</v>
      </c>
      <c r="DM90" s="13">
        <v>0</v>
      </c>
      <c r="DN90" s="14">
        <v>842</v>
      </c>
    </row>
    <row r="91" spans="1:118" x14ac:dyDescent="0.2">
      <c r="A91" s="10"/>
      <c r="B91" s="11" t="s">
        <v>497</v>
      </c>
      <c r="C91" s="12" t="s">
        <v>498</v>
      </c>
      <c r="D91" s="13">
        <v>12</v>
      </c>
      <c r="E91" s="13">
        <v>5</v>
      </c>
      <c r="F91" s="13">
        <v>12</v>
      </c>
      <c r="G91" s="13">
        <v>3</v>
      </c>
      <c r="H91" s="13">
        <v>19</v>
      </c>
      <c r="I91" s="13">
        <v>4</v>
      </c>
      <c r="J91" s="13">
        <v>7</v>
      </c>
      <c r="K91" s="13">
        <v>0</v>
      </c>
      <c r="L91" s="13">
        <v>3</v>
      </c>
      <c r="M91" s="13">
        <v>2</v>
      </c>
      <c r="N91" s="13">
        <v>1</v>
      </c>
      <c r="O91" s="13">
        <v>1</v>
      </c>
      <c r="P91" s="13">
        <v>7</v>
      </c>
      <c r="Q91" s="13">
        <v>2</v>
      </c>
      <c r="R91" s="13">
        <v>7</v>
      </c>
      <c r="S91" s="13">
        <v>1</v>
      </c>
      <c r="T91" s="13">
        <v>7</v>
      </c>
      <c r="U91" s="13">
        <v>6</v>
      </c>
      <c r="V91" s="13">
        <v>2</v>
      </c>
      <c r="W91" s="13">
        <v>6</v>
      </c>
      <c r="X91" s="13">
        <v>3</v>
      </c>
      <c r="Y91" s="13">
        <v>0</v>
      </c>
      <c r="Z91" s="13">
        <v>0</v>
      </c>
      <c r="AA91" s="13">
        <v>12</v>
      </c>
      <c r="AB91" s="13">
        <v>8</v>
      </c>
      <c r="AC91" s="13">
        <v>10</v>
      </c>
      <c r="AD91" s="13">
        <v>4</v>
      </c>
      <c r="AE91" s="13">
        <v>8</v>
      </c>
      <c r="AF91" s="13">
        <v>0</v>
      </c>
      <c r="AG91" s="13">
        <v>0</v>
      </c>
      <c r="AH91" s="13">
        <v>5</v>
      </c>
      <c r="AI91" s="13">
        <v>8</v>
      </c>
      <c r="AJ91" s="13">
        <v>5</v>
      </c>
      <c r="AK91" s="13">
        <v>17</v>
      </c>
      <c r="AL91" s="13">
        <v>5</v>
      </c>
      <c r="AM91" s="13">
        <v>15</v>
      </c>
      <c r="AN91" s="13">
        <v>4</v>
      </c>
      <c r="AO91" s="13">
        <v>1</v>
      </c>
      <c r="AP91" s="13">
        <v>66</v>
      </c>
      <c r="AQ91" s="13">
        <v>15</v>
      </c>
      <c r="AR91" s="13">
        <v>14</v>
      </c>
      <c r="AS91" s="13">
        <v>1</v>
      </c>
      <c r="AT91" s="13">
        <v>13</v>
      </c>
      <c r="AU91" s="13">
        <v>7</v>
      </c>
      <c r="AV91" s="13">
        <v>8</v>
      </c>
      <c r="AW91" s="13">
        <v>5</v>
      </c>
      <c r="AX91" s="13">
        <v>4</v>
      </c>
      <c r="AY91" s="13">
        <v>0</v>
      </c>
      <c r="AZ91" s="13">
        <v>0</v>
      </c>
      <c r="BA91" s="13">
        <v>2</v>
      </c>
      <c r="BB91" s="13">
        <v>0</v>
      </c>
      <c r="BC91" s="13">
        <v>7</v>
      </c>
      <c r="BD91" s="13">
        <v>0</v>
      </c>
      <c r="BE91" s="13">
        <v>5</v>
      </c>
      <c r="BF91" s="13">
        <v>5</v>
      </c>
      <c r="BG91" s="13">
        <v>1</v>
      </c>
      <c r="BH91" s="13">
        <v>3</v>
      </c>
      <c r="BI91" s="13">
        <v>10</v>
      </c>
      <c r="BJ91" s="13">
        <v>9</v>
      </c>
      <c r="BK91" s="13">
        <v>25</v>
      </c>
      <c r="BL91" s="13">
        <v>2</v>
      </c>
      <c r="BM91" s="13">
        <v>3</v>
      </c>
      <c r="BN91" s="13">
        <v>7</v>
      </c>
      <c r="BO91" s="13">
        <v>16</v>
      </c>
      <c r="BP91" s="13">
        <v>6</v>
      </c>
      <c r="BQ91" s="13">
        <v>12</v>
      </c>
      <c r="BR91" s="13">
        <v>13</v>
      </c>
      <c r="BS91" s="13">
        <v>79</v>
      </c>
      <c r="BT91" s="13">
        <v>17</v>
      </c>
      <c r="BU91" s="13">
        <v>8</v>
      </c>
      <c r="BV91" s="13">
        <v>11</v>
      </c>
      <c r="BW91" s="13">
        <v>17</v>
      </c>
      <c r="BX91" s="13">
        <v>9</v>
      </c>
      <c r="BY91" s="13">
        <v>17</v>
      </c>
      <c r="BZ91" s="13">
        <v>32</v>
      </c>
      <c r="CA91" s="13">
        <v>0</v>
      </c>
      <c r="CB91" s="13">
        <v>35</v>
      </c>
      <c r="CC91" s="13">
        <v>6</v>
      </c>
      <c r="CD91" s="13">
        <v>8</v>
      </c>
      <c r="CE91" s="13">
        <v>10</v>
      </c>
      <c r="CF91" s="13">
        <v>6</v>
      </c>
      <c r="CG91" s="13">
        <v>2</v>
      </c>
      <c r="CH91" s="13">
        <v>2</v>
      </c>
      <c r="CI91" s="13">
        <v>7</v>
      </c>
      <c r="CJ91" s="13">
        <v>6</v>
      </c>
      <c r="CK91" s="13">
        <v>4</v>
      </c>
      <c r="CL91" s="13">
        <v>0</v>
      </c>
      <c r="CM91" s="13">
        <v>1</v>
      </c>
      <c r="CN91" s="13">
        <v>14</v>
      </c>
      <c r="CO91" s="13">
        <v>0</v>
      </c>
      <c r="CP91" s="13">
        <v>0</v>
      </c>
      <c r="CQ91" s="13">
        <v>1</v>
      </c>
      <c r="CR91" s="13">
        <v>0</v>
      </c>
      <c r="CS91" s="13">
        <v>0</v>
      </c>
      <c r="CT91" s="13">
        <v>1</v>
      </c>
      <c r="CU91" s="13">
        <v>1</v>
      </c>
      <c r="CV91" s="14">
        <v>765</v>
      </c>
      <c r="CW91" s="13">
        <v>0</v>
      </c>
      <c r="CX91" s="13">
        <v>0</v>
      </c>
      <c r="CY91" s="13">
        <v>0</v>
      </c>
      <c r="CZ91" s="13">
        <v>0</v>
      </c>
      <c r="DA91" s="13">
        <v>0</v>
      </c>
      <c r="DB91" s="14">
        <v>0</v>
      </c>
      <c r="DC91" s="14">
        <v>765</v>
      </c>
      <c r="DD91" s="13">
        <v>0</v>
      </c>
      <c r="DE91" s="13">
        <v>0</v>
      </c>
      <c r="DF91" s="13">
        <v>0</v>
      </c>
      <c r="DG91" s="13">
        <v>0</v>
      </c>
      <c r="DH91" s="13">
        <v>0</v>
      </c>
      <c r="DI91" s="13">
        <v>0</v>
      </c>
      <c r="DJ91" s="14">
        <v>0</v>
      </c>
      <c r="DK91" s="13">
        <v>0</v>
      </c>
      <c r="DL91" s="13">
        <v>14</v>
      </c>
      <c r="DM91" s="13">
        <v>0</v>
      </c>
      <c r="DN91" s="14">
        <v>779</v>
      </c>
    </row>
    <row r="92" spans="1:118" x14ac:dyDescent="0.2">
      <c r="A92" s="10"/>
      <c r="B92" s="11" t="s">
        <v>499</v>
      </c>
      <c r="C92" s="12" t="s">
        <v>500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1</v>
      </c>
      <c r="P92" s="13">
        <v>0</v>
      </c>
      <c r="Q92" s="13">
        <v>1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2</v>
      </c>
      <c r="AA92" s="13">
        <v>0</v>
      </c>
      <c r="AB92" s="13">
        <v>0</v>
      </c>
      <c r="AC92" s="13">
        <v>0</v>
      </c>
      <c r="AD92" s="13">
        <v>0</v>
      </c>
      <c r="AE92" s="13">
        <v>0</v>
      </c>
      <c r="AF92" s="13">
        <v>0</v>
      </c>
      <c r="AG92" s="13">
        <v>0</v>
      </c>
      <c r="AH92" s="13">
        <v>0</v>
      </c>
      <c r="AI92" s="13">
        <v>0</v>
      </c>
      <c r="AJ92" s="13">
        <v>0</v>
      </c>
      <c r="AK92" s="13">
        <v>0</v>
      </c>
      <c r="AL92" s="13">
        <v>0</v>
      </c>
      <c r="AM92" s="13">
        <v>0</v>
      </c>
      <c r="AN92" s="13">
        <v>0</v>
      </c>
      <c r="AO92" s="13">
        <v>0</v>
      </c>
      <c r="AP92" s="13">
        <v>0</v>
      </c>
      <c r="AQ92" s="13">
        <v>0</v>
      </c>
      <c r="AR92" s="13">
        <v>0</v>
      </c>
      <c r="AS92" s="13">
        <v>0</v>
      </c>
      <c r="AT92" s="13">
        <v>0</v>
      </c>
      <c r="AU92" s="13">
        <v>0</v>
      </c>
      <c r="AV92" s="13">
        <v>0</v>
      </c>
      <c r="AW92" s="13">
        <v>0</v>
      </c>
      <c r="AX92" s="13">
        <v>0</v>
      </c>
      <c r="AY92" s="13">
        <v>0</v>
      </c>
      <c r="AZ92" s="13">
        <v>0</v>
      </c>
      <c r="BA92" s="13">
        <v>0</v>
      </c>
      <c r="BB92" s="13">
        <v>0</v>
      </c>
      <c r="BC92" s="13">
        <v>0</v>
      </c>
      <c r="BD92" s="13">
        <v>0</v>
      </c>
      <c r="BE92" s="13">
        <v>0</v>
      </c>
      <c r="BF92" s="13">
        <v>0</v>
      </c>
      <c r="BG92" s="13">
        <v>0</v>
      </c>
      <c r="BH92" s="13">
        <v>0</v>
      </c>
      <c r="BI92" s="13">
        <v>0</v>
      </c>
      <c r="BJ92" s="13">
        <v>0</v>
      </c>
      <c r="BK92" s="13">
        <v>65</v>
      </c>
      <c r="BL92" s="13">
        <v>0</v>
      </c>
      <c r="BM92" s="13">
        <v>0</v>
      </c>
      <c r="BN92" s="13">
        <v>586</v>
      </c>
      <c r="BO92" s="13">
        <v>0</v>
      </c>
      <c r="BP92" s="13">
        <v>0</v>
      </c>
      <c r="BQ92" s="13">
        <v>0</v>
      </c>
      <c r="BR92" s="13">
        <v>0</v>
      </c>
      <c r="BS92" s="13">
        <v>0</v>
      </c>
      <c r="BT92" s="13">
        <v>0</v>
      </c>
      <c r="BU92" s="13">
        <v>0</v>
      </c>
      <c r="BV92" s="13">
        <v>0</v>
      </c>
      <c r="BW92" s="13">
        <v>0</v>
      </c>
      <c r="BX92" s="13">
        <v>0</v>
      </c>
      <c r="BY92" s="13">
        <v>0</v>
      </c>
      <c r="BZ92" s="13">
        <v>0</v>
      </c>
      <c r="CA92" s="13">
        <v>0</v>
      </c>
      <c r="CB92" s="13">
        <v>0</v>
      </c>
      <c r="CC92" s="13">
        <v>1</v>
      </c>
      <c r="CD92" s="13">
        <v>0</v>
      </c>
      <c r="CE92" s="13">
        <v>0</v>
      </c>
      <c r="CF92" s="13">
        <v>58</v>
      </c>
      <c r="CG92" s="13">
        <v>0</v>
      </c>
      <c r="CH92" s="13">
        <v>0</v>
      </c>
      <c r="CI92" s="13">
        <v>0</v>
      </c>
      <c r="CJ92" s="13">
        <v>0</v>
      </c>
      <c r="CK92" s="13">
        <v>0</v>
      </c>
      <c r="CL92" s="13">
        <v>0</v>
      </c>
      <c r="CM92" s="13">
        <v>0</v>
      </c>
      <c r="CN92" s="13">
        <v>0</v>
      </c>
      <c r="CO92" s="13">
        <v>0</v>
      </c>
      <c r="CP92" s="13">
        <v>0</v>
      </c>
      <c r="CQ92" s="13">
        <v>2</v>
      </c>
      <c r="CR92" s="13">
        <v>0</v>
      </c>
      <c r="CS92" s="13">
        <v>1</v>
      </c>
      <c r="CT92" s="13">
        <v>0</v>
      </c>
      <c r="CU92" s="13">
        <v>0</v>
      </c>
      <c r="CV92" s="14">
        <v>717</v>
      </c>
      <c r="CW92" s="13">
        <v>0</v>
      </c>
      <c r="CX92" s="13">
        <v>0</v>
      </c>
      <c r="CY92" s="13">
        <v>0</v>
      </c>
      <c r="CZ92" s="13">
        <v>0</v>
      </c>
      <c r="DA92" s="13">
        <v>0</v>
      </c>
      <c r="DB92" s="14">
        <v>0</v>
      </c>
      <c r="DC92" s="14">
        <v>717</v>
      </c>
      <c r="DD92" s="13">
        <v>0</v>
      </c>
      <c r="DE92" s="13">
        <v>0</v>
      </c>
      <c r="DF92" s="13">
        <v>0</v>
      </c>
      <c r="DG92" s="13">
        <v>0</v>
      </c>
      <c r="DH92" s="13">
        <v>0</v>
      </c>
      <c r="DI92" s="13">
        <v>0</v>
      </c>
      <c r="DJ92" s="14">
        <v>0</v>
      </c>
      <c r="DK92" s="13">
        <v>0</v>
      </c>
      <c r="DL92" s="13">
        <v>0</v>
      </c>
      <c r="DM92" s="13">
        <v>0</v>
      </c>
      <c r="DN92" s="14">
        <v>717</v>
      </c>
    </row>
    <row r="93" spans="1:118" x14ac:dyDescent="0.2">
      <c r="A93" s="10"/>
      <c r="B93" s="11" t="s">
        <v>501</v>
      </c>
      <c r="C93" s="12" t="s">
        <v>502</v>
      </c>
      <c r="D93" s="13">
        <v>5</v>
      </c>
      <c r="E93" s="13">
        <v>2</v>
      </c>
      <c r="F93" s="13">
        <v>0</v>
      </c>
      <c r="G93" s="13">
        <v>0</v>
      </c>
      <c r="H93" s="13">
        <v>3</v>
      </c>
      <c r="I93" s="13">
        <v>8</v>
      </c>
      <c r="J93" s="13">
        <v>33</v>
      </c>
      <c r="K93" s="13">
        <v>3</v>
      </c>
      <c r="L93" s="13">
        <v>1</v>
      </c>
      <c r="M93" s="13">
        <v>1</v>
      </c>
      <c r="N93" s="13">
        <v>3</v>
      </c>
      <c r="O93" s="13">
        <v>2</v>
      </c>
      <c r="P93" s="13">
        <v>4</v>
      </c>
      <c r="Q93" s="13">
        <v>3</v>
      </c>
      <c r="R93" s="13">
        <v>0</v>
      </c>
      <c r="S93" s="13">
        <v>6</v>
      </c>
      <c r="T93" s="13">
        <v>5</v>
      </c>
      <c r="U93" s="13">
        <v>0</v>
      </c>
      <c r="V93" s="13">
        <v>3</v>
      </c>
      <c r="W93" s="13">
        <v>8</v>
      </c>
      <c r="X93" s="13">
        <v>8</v>
      </c>
      <c r="Y93" s="13">
        <v>0</v>
      </c>
      <c r="Z93" s="13">
        <v>9</v>
      </c>
      <c r="AA93" s="13">
        <v>30</v>
      </c>
      <c r="AB93" s="13">
        <v>3</v>
      </c>
      <c r="AC93" s="13">
        <v>1</v>
      </c>
      <c r="AD93" s="13">
        <v>6</v>
      </c>
      <c r="AE93" s="13">
        <v>2</v>
      </c>
      <c r="AF93" s="13">
        <v>0</v>
      </c>
      <c r="AG93" s="13">
        <v>0</v>
      </c>
      <c r="AH93" s="13">
        <v>7</v>
      </c>
      <c r="AI93" s="13">
        <v>8</v>
      </c>
      <c r="AJ93" s="13">
        <v>14</v>
      </c>
      <c r="AK93" s="13">
        <v>10</v>
      </c>
      <c r="AL93" s="13">
        <v>3</v>
      </c>
      <c r="AM93" s="13">
        <v>24</v>
      </c>
      <c r="AN93" s="13">
        <v>0</v>
      </c>
      <c r="AO93" s="13">
        <v>6</v>
      </c>
      <c r="AP93" s="13">
        <v>10</v>
      </c>
      <c r="AQ93" s="13">
        <v>14</v>
      </c>
      <c r="AR93" s="13">
        <v>1</v>
      </c>
      <c r="AS93" s="13">
        <v>13</v>
      </c>
      <c r="AT93" s="13">
        <v>2</v>
      </c>
      <c r="AU93" s="13">
        <v>7</v>
      </c>
      <c r="AV93" s="13">
        <v>9</v>
      </c>
      <c r="AW93" s="13">
        <v>7</v>
      </c>
      <c r="AX93" s="13">
        <v>19</v>
      </c>
      <c r="AY93" s="13">
        <v>2</v>
      </c>
      <c r="AZ93" s="13">
        <v>0</v>
      </c>
      <c r="BA93" s="13">
        <v>10</v>
      </c>
      <c r="BB93" s="13">
        <v>8</v>
      </c>
      <c r="BC93" s="13">
        <v>8</v>
      </c>
      <c r="BD93" s="13">
        <v>1</v>
      </c>
      <c r="BE93" s="13">
        <v>0</v>
      </c>
      <c r="BF93" s="13">
        <v>27</v>
      </c>
      <c r="BG93" s="13">
        <v>10</v>
      </c>
      <c r="BH93" s="13">
        <v>6</v>
      </c>
      <c r="BI93" s="13">
        <v>26</v>
      </c>
      <c r="BJ93" s="13">
        <v>0</v>
      </c>
      <c r="BK93" s="13">
        <v>26</v>
      </c>
      <c r="BL93" s="13">
        <v>8</v>
      </c>
      <c r="BM93" s="13">
        <v>1</v>
      </c>
      <c r="BN93" s="13">
        <v>7</v>
      </c>
      <c r="BO93" s="13">
        <v>11</v>
      </c>
      <c r="BP93" s="13">
        <v>1</v>
      </c>
      <c r="BQ93" s="13">
        <v>2</v>
      </c>
      <c r="BR93" s="13">
        <v>0</v>
      </c>
      <c r="BS93" s="13">
        <v>12</v>
      </c>
      <c r="BT93" s="13">
        <v>4</v>
      </c>
      <c r="BU93" s="13">
        <v>19</v>
      </c>
      <c r="BV93" s="13">
        <v>8</v>
      </c>
      <c r="BW93" s="13">
        <v>20</v>
      </c>
      <c r="BX93" s="13">
        <v>7</v>
      </c>
      <c r="BY93" s="13">
        <v>2</v>
      </c>
      <c r="BZ93" s="13">
        <v>8</v>
      </c>
      <c r="CA93" s="13">
        <v>17</v>
      </c>
      <c r="CB93" s="13">
        <v>4</v>
      </c>
      <c r="CC93" s="13">
        <v>4</v>
      </c>
      <c r="CD93" s="13">
        <v>3</v>
      </c>
      <c r="CE93" s="13">
        <v>11</v>
      </c>
      <c r="CF93" s="13">
        <v>2</v>
      </c>
      <c r="CG93" s="13">
        <v>3</v>
      </c>
      <c r="CH93" s="13">
        <v>4</v>
      </c>
      <c r="CI93" s="13">
        <v>0</v>
      </c>
      <c r="CJ93" s="13">
        <v>0</v>
      </c>
      <c r="CK93" s="13">
        <v>2</v>
      </c>
      <c r="CL93" s="13">
        <v>15</v>
      </c>
      <c r="CM93" s="13">
        <v>7</v>
      </c>
      <c r="CN93" s="13">
        <v>12</v>
      </c>
      <c r="CO93" s="13">
        <v>1</v>
      </c>
      <c r="CP93" s="13">
        <v>14</v>
      </c>
      <c r="CQ93" s="13">
        <v>8</v>
      </c>
      <c r="CR93" s="13">
        <v>7</v>
      </c>
      <c r="CS93" s="13">
        <v>0</v>
      </c>
      <c r="CT93" s="13">
        <v>2</v>
      </c>
      <c r="CU93" s="13">
        <v>4</v>
      </c>
      <c r="CV93" s="14">
        <v>657</v>
      </c>
      <c r="CW93" s="13">
        <v>0</v>
      </c>
      <c r="CX93" s="13">
        <v>0</v>
      </c>
      <c r="CY93" s="13">
        <v>0</v>
      </c>
      <c r="CZ93" s="13">
        <v>0</v>
      </c>
      <c r="DA93" s="13">
        <v>1</v>
      </c>
      <c r="DB93" s="14">
        <v>1</v>
      </c>
      <c r="DC93" s="14">
        <v>658</v>
      </c>
      <c r="DD93" s="13">
        <v>0</v>
      </c>
      <c r="DE93" s="13">
        <v>0</v>
      </c>
      <c r="DF93" s="13">
        <v>0</v>
      </c>
      <c r="DG93" s="13">
        <v>0</v>
      </c>
      <c r="DH93" s="13">
        <v>0</v>
      </c>
      <c r="DI93" s="13">
        <v>0</v>
      </c>
      <c r="DJ93" s="14">
        <v>0</v>
      </c>
      <c r="DK93" s="13">
        <v>0</v>
      </c>
      <c r="DL93" s="13">
        <v>36</v>
      </c>
      <c r="DM93" s="13">
        <v>0</v>
      </c>
      <c r="DN93" s="14">
        <v>694</v>
      </c>
    </row>
    <row r="94" spans="1:118" x14ac:dyDescent="0.2">
      <c r="A94" s="10"/>
      <c r="B94" s="11" t="s">
        <v>503</v>
      </c>
      <c r="C94" s="12" t="s">
        <v>504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13">
        <v>0</v>
      </c>
      <c r="AH94" s="13">
        <v>0</v>
      </c>
      <c r="AI94" s="13">
        <v>0</v>
      </c>
      <c r="AJ94" s="13">
        <v>0</v>
      </c>
      <c r="AK94" s="13">
        <v>0</v>
      </c>
      <c r="AL94" s="13">
        <v>0</v>
      </c>
      <c r="AM94" s="13">
        <v>0</v>
      </c>
      <c r="AN94" s="13">
        <v>0</v>
      </c>
      <c r="AO94" s="13">
        <v>0</v>
      </c>
      <c r="AP94" s="13">
        <v>0</v>
      </c>
      <c r="AQ94" s="13">
        <v>0</v>
      </c>
      <c r="AR94" s="13">
        <v>0</v>
      </c>
      <c r="AS94" s="13">
        <v>0</v>
      </c>
      <c r="AT94" s="13">
        <v>0</v>
      </c>
      <c r="AU94" s="13">
        <v>0</v>
      </c>
      <c r="AV94" s="13">
        <v>0</v>
      </c>
      <c r="AW94" s="13">
        <v>0</v>
      </c>
      <c r="AX94" s="13">
        <v>0</v>
      </c>
      <c r="AY94" s="13">
        <v>0</v>
      </c>
      <c r="AZ94" s="13">
        <v>0</v>
      </c>
      <c r="BA94" s="13">
        <v>0</v>
      </c>
      <c r="BB94" s="13">
        <v>0</v>
      </c>
      <c r="BC94" s="13">
        <v>0</v>
      </c>
      <c r="BD94" s="13">
        <v>0</v>
      </c>
      <c r="BE94" s="13">
        <v>0</v>
      </c>
      <c r="BF94" s="13">
        <v>0</v>
      </c>
      <c r="BG94" s="13">
        <v>0</v>
      </c>
      <c r="BH94" s="13">
        <v>0</v>
      </c>
      <c r="BI94" s="13">
        <v>0</v>
      </c>
      <c r="BJ94" s="13">
        <v>0</v>
      </c>
      <c r="BK94" s="13">
        <v>285</v>
      </c>
      <c r="BL94" s="13">
        <v>45</v>
      </c>
      <c r="BM94" s="13">
        <v>0</v>
      </c>
      <c r="BN94" s="13">
        <v>0</v>
      </c>
      <c r="BO94" s="13">
        <v>0</v>
      </c>
      <c r="BP94" s="13">
        <v>0</v>
      </c>
      <c r="BQ94" s="13">
        <v>0</v>
      </c>
      <c r="BR94" s="13">
        <v>0</v>
      </c>
      <c r="BS94" s="13">
        <v>0</v>
      </c>
      <c r="BT94" s="13">
        <v>0</v>
      </c>
      <c r="BU94" s="13">
        <v>0</v>
      </c>
      <c r="BV94" s="13">
        <v>0</v>
      </c>
      <c r="BW94" s="13">
        <v>0</v>
      </c>
      <c r="BX94" s="13">
        <v>0</v>
      </c>
      <c r="BY94" s="13">
        <v>0</v>
      </c>
      <c r="BZ94" s="13">
        <v>0</v>
      </c>
      <c r="CA94" s="13">
        <v>0</v>
      </c>
      <c r="CB94" s="13">
        <v>0</v>
      </c>
      <c r="CC94" s="13">
        <v>0</v>
      </c>
      <c r="CD94" s="13">
        <v>0</v>
      </c>
      <c r="CE94" s="13">
        <v>0</v>
      </c>
      <c r="CF94" s="13">
        <v>271</v>
      </c>
      <c r="CG94" s="13">
        <v>0</v>
      </c>
      <c r="CH94" s="13">
        <v>0</v>
      </c>
      <c r="CI94" s="13">
        <v>0</v>
      </c>
      <c r="CJ94" s="13">
        <v>0</v>
      </c>
      <c r="CK94" s="13">
        <v>0</v>
      </c>
      <c r="CL94" s="13">
        <v>0</v>
      </c>
      <c r="CM94" s="13">
        <v>0</v>
      </c>
      <c r="CN94" s="13">
        <v>0</v>
      </c>
      <c r="CO94" s="13">
        <v>0</v>
      </c>
      <c r="CP94" s="13">
        <v>0</v>
      </c>
      <c r="CQ94" s="13">
        <v>0</v>
      </c>
      <c r="CR94" s="13">
        <v>0</v>
      </c>
      <c r="CS94" s="13">
        <v>0</v>
      </c>
      <c r="CT94" s="13">
        <v>0</v>
      </c>
      <c r="CU94" s="13">
        <v>0</v>
      </c>
      <c r="CV94" s="14">
        <v>601</v>
      </c>
      <c r="CW94" s="13">
        <v>0</v>
      </c>
      <c r="CX94" s="13">
        <v>0</v>
      </c>
      <c r="CY94" s="13">
        <v>0</v>
      </c>
      <c r="CZ94" s="13">
        <v>0</v>
      </c>
      <c r="DA94" s="13">
        <v>0</v>
      </c>
      <c r="DB94" s="14">
        <v>0</v>
      </c>
      <c r="DC94" s="14">
        <v>601</v>
      </c>
      <c r="DD94" s="13">
        <v>0</v>
      </c>
      <c r="DE94" s="13">
        <v>0</v>
      </c>
      <c r="DF94" s="13">
        <v>0</v>
      </c>
      <c r="DG94" s="13">
        <v>0</v>
      </c>
      <c r="DH94" s="13">
        <v>0</v>
      </c>
      <c r="DI94" s="13">
        <v>0</v>
      </c>
      <c r="DJ94" s="14">
        <v>0</v>
      </c>
      <c r="DK94" s="13">
        <v>0</v>
      </c>
      <c r="DL94" s="13">
        <v>0</v>
      </c>
      <c r="DM94" s="13">
        <v>0</v>
      </c>
      <c r="DN94" s="14">
        <v>601</v>
      </c>
    </row>
    <row r="95" spans="1:118" x14ac:dyDescent="0.2">
      <c r="A95" s="10"/>
      <c r="B95" s="11" t="s">
        <v>505</v>
      </c>
      <c r="C95" s="12" t="s">
        <v>506</v>
      </c>
      <c r="D95" s="13" t="s">
        <v>507</v>
      </c>
      <c r="E95" s="13" t="s">
        <v>507</v>
      </c>
      <c r="F95" s="13" t="s">
        <v>507</v>
      </c>
      <c r="G95" s="13" t="s">
        <v>507</v>
      </c>
      <c r="H95" s="13" t="s">
        <v>507</v>
      </c>
      <c r="I95" s="13" t="s">
        <v>507</v>
      </c>
      <c r="J95" s="13" t="s">
        <v>507</v>
      </c>
      <c r="K95" s="13" t="s">
        <v>507</v>
      </c>
      <c r="L95" s="13" t="s">
        <v>507</v>
      </c>
      <c r="M95" s="13" t="s">
        <v>507</v>
      </c>
      <c r="N95" s="13" t="s">
        <v>507</v>
      </c>
      <c r="O95" s="13" t="s">
        <v>507</v>
      </c>
      <c r="P95" s="13" t="s">
        <v>507</v>
      </c>
      <c r="Q95" s="13" t="s">
        <v>507</v>
      </c>
      <c r="R95" s="13" t="s">
        <v>507</v>
      </c>
      <c r="S95" s="13" t="s">
        <v>507</v>
      </c>
      <c r="T95" s="13" t="s">
        <v>507</v>
      </c>
      <c r="U95" s="13" t="s">
        <v>507</v>
      </c>
      <c r="V95" s="13" t="s">
        <v>507</v>
      </c>
      <c r="W95" s="13" t="s">
        <v>507</v>
      </c>
      <c r="X95" s="13" t="s">
        <v>507</v>
      </c>
      <c r="Y95" s="13" t="s">
        <v>507</v>
      </c>
      <c r="Z95" s="13" t="s">
        <v>507</v>
      </c>
      <c r="AA95" s="13" t="s">
        <v>507</v>
      </c>
      <c r="AB95" s="13" t="s">
        <v>507</v>
      </c>
      <c r="AC95" s="13" t="s">
        <v>507</v>
      </c>
      <c r="AD95" s="13" t="s">
        <v>507</v>
      </c>
      <c r="AE95" s="13" t="s">
        <v>507</v>
      </c>
      <c r="AF95" s="13" t="s">
        <v>507</v>
      </c>
      <c r="AG95" s="13" t="s">
        <v>507</v>
      </c>
      <c r="AH95" s="13" t="s">
        <v>507</v>
      </c>
      <c r="AI95" s="13" t="s">
        <v>507</v>
      </c>
      <c r="AJ95" s="13" t="s">
        <v>507</v>
      </c>
      <c r="AK95" s="13" t="s">
        <v>507</v>
      </c>
      <c r="AL95" s="13" t="s">
        <v>507</v>
      </c>
      <c r="AM95" s="13" t="s">
        <v>507</v>
      </c>
      <c r="AN95" s="13" t="s">
        <v>507</v>
      </c>
      <c r="AO95" s="13" t="s">
        <v>507</v>
      </c>
      <c r="AP95" s="13" t="s">
        <v>507</v>
      </c>
      <c r="AQ95" s="13" t="s">
        <v>507</v>
      </c>
      <c r="AR95" s="13" t="s">
        <v>507</v>
      </c>
      <c r="AS95" s="13" t="s">
        <v>507</v>
      </c>
      <c r="AT95" s="13" t="s">
        <v>507</v>
      </c>
      <c r="AU95" s="13" t="s">
        <v>507</v>
      </c>
      <c r="AV95" s="13" t="s">
        <v>507</v>
      </c>
      <c r="AW95" s="13" t="s">
        <v>507</v>
      </c>
      <c r="AX95" s="13" t="s">
        <v>507</v>
      </c>
      <c r="AY95" s="13" t="s">
        <v>507</v>
      </c>
      <c r="AZ95" s="13" t="s">
        <v>507</v>
      </c>
      <c r="BA95" s="13" t="s">
        <v>507</v>
      </c>
      <c r="BB95" s="13" t="s">
        <v>507</v>
      </c>
      <c r="BC95" s="13" t="s">
        <v>507</v>
      </c>
      <c r="BD95" s="13" t="s">
        <v>507</v>
      </c>
      <c r="BE95" s="13" t="s">
        <v>507</v>
      </c>
      <c r="BF95" s="13" t="s">
        <v>507</v>
      </c>
      <c r="BG95" s="13" t="s">
        <v>507</v>
      </c>
      <c r="BH95" s="13" t="s">
        <v>507</v>
      </c>
      <c r="BI95" s="13" t="s">
        <v>507</v>
      </c>
      <c r="BJ95" s="13" t="s">
        <v>507</v>
      </c>
      <c r="BK95" s="13" t="s">
        <v>507</v>
      </c>
      <c r="BL95" s="13" t="s">
        <v>507</v>
      </c>
      <c r="BM95" s="13" t="s">
        <v>507</v>
      </c>
      <c r="BN95" s="13" t="s">
        <v>507</v>
      </c>
      <c r="BO95" s="13" t="s">
        <v>507</v>
      </c>
      <c r="BP95" s="13" t="s">
        <v>507</v>
      </c>
      <c r="BQ95" s="13" t="s">
        <v>507</v>
      </c>
      <c r="BR95" s="13" t="s">
        <v>507</v>
      </c>
      <c r="BS95" s="13" t="s">
        <v>507</v>
      </c>
      <c r="BT95" s="13" t="s">
        <v>507</v>
      </c>
      <c r="BU95" s="13" t="s">
        <v>507</v>
      </c>
      <c r="BV95" s="13" t="s">
        <v>507</v>
      </c>
      <c r="BW95" s="13" t="s">
        <v>507</v>
      </c>
      <c r="BX95" s="13" t="s">
        <v>507</v>
      </c>
      <c r="BY95" s="13" t="s">
        <v>507</v>
      </c>
      <c r="BZ95" s="13" t="s">
        <v>507</v>
      </c>
      <c r="CA95" s="13" t="s">
        <v>507</v>
      </c>
      <c r="CB95" s="13" t="s">
        <v>507</v>
      </c>
      <c r="CC95" s="13" t="s">
        <v>507</v>
      </c>
      <c r="CD95" s="13" t="s">
        <v>507</v>
      </c>
      <c r="CE95" s="13" t="s">
        <v>507</v>
      </c>
      <c r="CF95" s="13" t="s">
        <v>507</v>
      </c>
      <c r="CG95" s="13" t="s">
        <v>507</v>
      </c>
      <c r="CH95" s="13" t="s">
        <v>507</v>
      </c>
      <c r="CI95" s="13" t="s">
        <v>507</v>
      </c>
      <c r="CJ95" s="13" t="s">
        <v>507</v>
      </c>
      <c r="CK95" s="13" t="s">
        <v>507</v>
      </c>
      <c r="CL95" s="13" t="s">
        <v>507</v>
      </c>
      <c r="CM95" s="13" t="s">
        <v>507</v>
      </c>
      <c r="CN95" s="13" t="s">
        <v>507</v>
      </c>
      <c r="CO95" s="13" t="s">
        <v>507</v>
      </c>
      <c r="CP95" s="13" t="s">
        <v>507</v>
      </c>
      <c r="CQ95" s="13" t="s">
        <v>507</v>
      </c>
      <c r="CR95" s="13" t="s">
        <v>507</v>
      </c>
      <c r="CS95" s="13" t="s">
        <v>507</v>
      </c>
      <c r="CT95" s="13" t="s">
        <v>507</v>
      </c>
      <c r="CU95" s="13" t="s">
        <v>507</v>
      </c>
      <c r="CV95" s="14" t="s">
        <v>507</v>
      </c>
      <c r="CW95" s="13" t="s">
        <v>507</v>
      </c>
      <c r="CX95" s="13" t="s">
        <v>507</v>
      </c>
      <c r="CY95" s="13" t="s">
        <v>507</v>
      </c>
      <c r="CZ95" s="13" t="s">
        <v>507</v>
      </c>
      <c r="DA95" s="13" t="s">
        <v>507</v>
      </c>
      <c r="DB95" s="14" t="s">
        <v>507</v>
      </c>
      <c r="DC95" s="14" t="s">
        <v>507</v>
      </c>
      <c r="DD95" s="13" t="s">
        <v>507</v>
      </c>
      <c r="DE95" s="13" t="s">
        <v>507</v>
      </c>
      <c r="DF95" s="13" t="s">
        <v>507</v>
      </c>
      <c r="DG95" s="13" t="s">
        <v>507</v>
      </c>
      <c r="DH95" s="13" t="s">
        <v>507</v>
      </c>
      <c r="DI95" s="13" t="s">
        <v>507</v>
      </c>
      <c r="DJ95" s="14" t="s">
        <v>507</v>
      </c>
      <c r="DK95" s="13" t="s">
        <v>507</v>
      </c>
      <c r="DL95" s="13" t="s">
        <v>507</v>
      </c>
      <c r="DM95" s="13">
        <v>542</v>
      </c>
      <c r="DN95" s="14">
        <v>542</v>
      </c>
    </row>
    <row r="96" spans="1:118" x14ac:dyDescent="0.2">
      <c r="A96" s="10"/>
      <c r="B96" s="11" t="s">
        <v>508</v>
      </c>
      <c r="C96" s="12" t="s">
        <v>509</v>
      </c>
      <c r="D96" s="13">
        <v>17</v>
      </c>
      <c r="E96" s="13">
        <v>0</v>
      </c>
      <c r="F96" s="13">
        <v>2</v>
      </c>
      <c r="G96" s="13">
        <v>1</v>
      </c>
      <c r="H96" s="13">
        <v>0</v>
      </c>
      <c r="I96" s="13">
        <v>10</v>
      </c>
      <c r="J96" s="13">
        <v>2</v>
      </c>
      <c r="K96" s="13">
        <v>2</v>
      </c>
      <c r="L96" s="13">
        <v>0</v>
      </c>
      <c r="M96" s="13">
        <v>9</v>
      </c>
      <c r="N96" s="13">
        <v>8</v>
      </c>
      <c r="O96" s="13">
        <v>2</v>
      </c>
      <c r="P96" s="13">
        <v>31</v>
      </c>
      <c r="Q96" s="13">
        <v>5</v>
      </c>
      <c r="R96" s="13">
        <v>0</v>
      </c>
      <c r="S96" s="13">
        <v>1</v>
      </c>
      <c r="T96" s="13">
        <v>11</v>
      </c>
      <c r="U96" s="13">
        <v>1</v>
      </c>
      <c r="V96" s="13">
        <v>0</v>
      </c>
      <c r="W96" s="13">
        <v>4</v>
      </c>
      <c r="X96" s="13">
        <v>0</v>
      </c>
      <c r="Y96" s="13">
        <v>0</v>
      </c>
      <c r="Z96" s="13">
        <v>0</v>
      </c>
      <c r="AA96" s="13">
        <v>2</v>
      </c>
      <c r="AB96" s="13">
        <v>1</v>
      </c>
      <c r="AC96" s="13">
        <v>32</v>
      </c>
      <c r="AD96" s="13">
        <v>1</v>
      </c>
      <c r="AE96" s="13">
        <v>0</v>
      </c>
      <c r="AF96" s="13">
        <v>12</v>
      </c>
      <c r="AG96" s="13">
        <v>36</v>
      </c>
      <c r="AH96" s="13">
        <v>8</v>
      </c>
      <c r="AI96" s="13">
        <v>16</v>
      </c>
      <c r="AJ96" s="13">
        <v>1</v>
      </c>
      <c r="AK96" s="13">
        <v>20</v>
      </c>
      <c r="AL96" s="13">
        <v>4</v>
      </c>
      <c r="AM96" s="13">
        <v>3</v>
      </c>
      <c r="AN96" s="13">
        <v>0</v>
      </c>
      <c r="AO96" s="13">
        <v>1</v>
      </c>
      <c r="AP96" s="13">
        <v>4</v>
      </c>
      <c r="AQ96" s="13">
        <v>3</v>
      </c>
      <c r="AR96" s="13">
        <v>6</v>
      </c>
      <c r="AS96" s="13">
        <v>4</v>
      </c>
      <c r="AT96" s="13">
        <v>0</v>
      </c>
      <c r="AU96" s="13">
        <v>0</v>
      </c>
      <c r="AV96" s="13">
        <v>7</v>
      </c>
      <c r="AW96" s="13">
        <v>2</v>
      </c>
      <c r="AX96" s="13">
        <v>0</v>
      </c>
      <c r="AY96" s="13">
        <v>2</v>
      </c>
      <c r="AZ96" s="13">
        <v>0</v>
      </c>
      <c r="BA96" s="13">
        <v>16</v>
      </c>
      <c r="BB96" s="13">
        <v>4</v>
      </c>
      <c r="BC96" s="13">
        <v>0</v>
      </c>
      <c r="BD96" s="13">
        <v>1</v>
      </c>
      <c r="BE96" s="13">
        <v>2</v>
      </c>
      <c r="BF96" s="13">
        <v>1</v>
      </c>
      <c r="BG96" s="13">
        <v>1</v>
      </c>
      <c r="BH96" s="13">
        <v>4</v>
      </c>
      <c r="BI96" s="13">
        <v>1</v>
      </c>
      <c r="BJ96" s="13">
        <v>0</v>
      </c>
      <c r="BK96" s="13">
        <v>2</v>
      </c>
      <c r="BL96" s="13">
        <v>2</v>
      </c>
      <c r="BM96" s="13">
        <v>0</v>
      </c>
      <c r="BN96" s="13">
        <v>3</v>
      </c>
      <c r="BO96" s="13">
        <v>1</v>
      </c>
      <c r="BP96" s="13">
        <v>1</v>
      </c>
      <c r="BQ96" s="13">
        <v>0</v>
      </c>
      <c r="BR96" s="13">
        <v>5</v>
      </c>
      <c r="BS96" s="13">
        <v>1</v>
      </c>
      <c r="BT96" s="13">
        <v>0</v>
      </c>
      <c r="BU96" s="13">
        <v>8</v>
      </c>
      <c r="BV96" s="13">
        <v>0</v>
      </c>
      <c r="BW96" s="13">
        <v>6</v>
      </c>
      <c r="BX96" s="13">
        <v>0</v>
      </c>
      <c r="BY96" s="13">
        <v>4</v>
      </c>
      <c r="BZ96" s="13">
        <v>5</v>
      </c>
      <c r="CA96" s="13">
        <v>5</v>
      </c>
      <c r="CB96" s="13">
        <v>66</v>
      </c>
      <c r="CC96" s="13">
        <v>18</v>
      </c>
      <c r="CD96" s="13">
        <v>15</v>
      </c>
      <c r="CE96" s="13">
        <v>0</v>
      </c>
      <c r="CF96" s="13">
        <v>1</v>
      </c>
      <c r="CG96" s="13">
        <v>1</v>
      </c>
      <c r="CH96" s="13">
        <v>1</v>
      </c>
      <c r="CI96" s="13">
        <v>14</v>
      </c>
      <c r="CJ96" s="13">
        <v>1</v>
      </c>
      <c r="CK96" s="13">
        <v>0</v>
      </c>
      <c r="CL96" s="13">
        <v>0</v>
      </c>
      <c r="CM96" s="13">
        <v>0</v>
      </c>
      <c r="CN96" s="13">
        <v>4</v>
      </c>
      <c r="CO96" s="13">
        <v>4</v>
      </c>
      <c r="CP96" s="13">
        <v>0</v>
      </c>
      <c r="CQ96" s="13">
        <v>6</v>
      </c>
      <c r="CR96" s="13">
        <v>6</v>
      </c>
      <c r="CS96" s="13">
        <v>0</v>
      </c>
      <c r="CT96" s="13">
        <v>9</v>
      </c>
      <c r="CU96" s="13">
        <v>11</v>
      </c>
      <c r="CV96" s="14">
        <v>501</v>
      </c>
      <c r="CW96" s="13">
        <v>11</v>
      </c>
      <c r="CX96" s="13">
        <v>2</v>
      </c>
      <c r="CY96" s="13">
        <v>0</v>
      </c>
      <c r="CZ96" s="13">
        <v>0</v>
      </c>
      <c r="DA96" s="13">
        <v>0</v>
      </c>
      <c r="DB96" s="14">
        <v>13</v>
      </c>
      <c r="DC96" s="14">
        <v>514</v>
      </c>
      <c r="DD96" s="13">
        <v>0</v>
      </c>
      <c r="DE96" s="13">
        <v>0</v>
      </c>
      <c r="DF96" s="13">
        <v>0</v>
      </c>
      <c r="DG96" s="13">
        <v>0</v>
      </c>
      <c r="DH96" s="13">
        <v>0</v>
      </c>
      <c r="DI96" s="13">
        <v>1</v>
      </c>
      <c r="DJ96" s="14">
        <v>1</v>
      </c>
      <c r="DK96" s="13">
        <v>2</v>
      </c>
      <c r="DL96" s="13">
        <v>6</v>
      </c>
      <c r="DM96" s="13">
        <v>0</v>
      </c>
      <c r="DN96" s="14">
        <v>523</v>
      </c>
    </row>
    <row r="97" spans="1:118" x14ac:dyDescent="0.2">
      <c r="A97" s="10"/>
      <c r="B97" s="11" t="s">
        <v>510</v>
      </c>
      <c r="C97" s="12" t="s">
        <v>511</v>
      </c>
      <c r="D97" s="13">
        <v>3</v>
      </c>
      <c r="E97" s="13">
        <v>2</v>
      </c>
      <c r="F97" s="13">
        <v>7</v>
      </c>
      <c r="G97" s="13">
        <v>0</v>
      </c>
      <c r="H97" s="13">
        <v>0</v>
      </c>
      <c r="I97" s="13">
        <v>11</v>
      </c>
      <c r="J97" s="13">
        <v>1</v>
      </c>
      <c r="K97" s="13">
        <v>0</v>
      </c>
      <c r="L97" s="13">
        <v>0</v>
      </c>
      <c r="M97" s="13">
        <v>9</v>
      </c>
      <c r="N97" s="13">
        <v>1</v>
      </c>
      <c r="O97" s="13">
        <v>0</v>
      </c>
      <c r="P97" s="13">
        <v>1</v>
      </c>
      <c r="Q97" s="13">
        <v>2</v>
      </c>
      <c r="R97" s="13">
        <v>0</v>
      </c>
      <c r="S97" s="13">
        <v>2</v>
      </c>
      <c r="T97" s="13">
        <v>1</v>
      </c>
      <c r="U97" s="13">
        <v>0</v>
      </c>
      <c r="V97" s="13">
        <v>2</v>
      </c>
      <c r="W97" s="13">
        <v>7</v>
      </c>
      <c r="X97" s="13">
        <v>0</v>
      </c>
      <c r="Y97" s="13">
        <v>0</v>
      </c>
      <c r="Z97" s="13">
        <v>0</v>
      </c>
      <c r="AA97" s="13">
        <v>2</v>
      </c>
      <c r="AB97" s="13">
        <v>2</v>
      </c>
      <c r="AC97" s="13">
        <v>25</v>
      </c>
      <c r="AD97" s="13">
        <v>3</v>
      </c>
      <c r="AE97" s="13">
        <v>4</v>
      </c>
      <c r="AF97" s="13">
        <v>0</v>
      </c>
      <c r="AG97" s="13">
        <v>0</v>
      </c>
      <c r="AH97" s="13">
        <v>1</v>
      </c>
      <c r="AI97" s="13">
        <v>0</v>
      </c>
      <c r="AJ97" s="13">
        <v>0</v>
      </c>
      <c r="AK97" s="13">
        <v>0</v>
      </c>
      <c r="AL97" s="13">
        <v>6</v>
      </c>
      <c r="AM97" s="13">
        <v>14</v>
      </c>
      <c r="AN97" s="13">
        <v>1</v>
      </c>
      <c r="AO97" s="13">
        <v>4</v>
      </c>
      <c r="AP97" s="13">
        <v>31</v>
      </c>
      <c r="AQ97" s="13">
        <v>7</v>
      </c>
      <c r="AR97" s="13">
        <v>1</v>
      </c>
      <c r="AS97" s="13">
        <v>7</v>
      </c>
      <c r="AT97" s="13">
        <v>4</v>
      </c>
      <c r="AU97" s="13">
        <v>0</v>
      </c>
      <c r="AV97" s="13">
        <v>11</v>
      </c>
      <c r="AW97" s="13">
        <v>9</v>
      </c>
      <c r="AX97" s="13">
        <v>3</v>
      </c>
      <c r="AY97" s="13">
        <v>0</v>
      </c>
      <c r="AZ97" s="13">
        <v>0</v>
      </c>
      <c r="BA97" s="13">
        <v>2</v>
      </c>
      <c r="BB97" s="13">
        <v>1</v>
      </c>
      <c r="BC97" s="13">
        <v>12</v>
      </c>
      <c r="BD97" s="13">
        <v>0</v>
      </c>
      <c r="BE97" s="13">
        <v>1</v>
      </c>
      <c r="BF97" s="13">
        <v>2</v>
      </c>
      <c r="BG97" s="13">
        <v>0</v>
      </c>
      <c r="BH97" s="13">
        <v>2</v>
      </c>
      <c r="BI97" s="13">
        <v>8</v>
      </c>
      <c r="BJ97" s="13">
        <v>1</v>
      </c>
      <c r="BK97" s="13">
        <v>6</v>
      </c>
      <c r="BL97" s="13">
        <v>7</v>
      </c>
      <c r="BM97" s="13">
        <v>5</v>
      </c>
      <c r="BN97" s="13">
        <v>4</v>
      </c>
      <c r="BO97" s="13">
        <v>19</v>
      </c>
      <c r="BP97" s="13">
        <v>0</v>
      </c>
      <c r="BQ97" s="13">
        <v>0</v>
      </c>
      <c r="BR97" s="13">
        <v>0</v>
      </c>
      <c r="BS97" s="13">
        <v>2</v>
      </c>
      <c r="BT97" s="13">
        <v>18</v>
      </c>
      <c r="BU97" s="13">
        <v>0</v>
      </c>
      <c r="BV97" s="13">
        <v>3</v>
      </c>
      <c r="BW97" s="13">
        <v>1</v>
      </c>
      <c r="BX97" s="13">
        <v>0</v>
      </c>
      <c r="BY97" s="13">
        <v>7</v>
      </c>
      <c r="BZ97" s="13">
        <v>12</v>
      </c>
      <c r="CA97" s="13">
        <v>1</v>
      </c>
      <c r="CB97" s="13">
        <v>53</v>
      </c>
      <c r="CC97" s="13">
        <v>7</v>
      </c>
      <c r="CD97" s="13">
        <v>17</v>
      </c>
      <c r="CE97" s="13">
        <v>2</v>
      </c>
      <c r="CF97" s="13">
        <v>4</v>
      </c>
      <c r="CG97" s="13">
        <v>2</v>
      </c>
      <c r="CH97" s="13">
        <v>1</v>
      </c>
      <c r="CI97" s="13">
        <v>0</v>
      </c>
      <c r="CJ97" s="13">
        <v>0</v>
      </c>
      <c r="CK97" s="13">
        <v>2</v>
      </c>
      <c r="CL97" s="13">
        <v>3</v>
      </c>
      <c r="CM97" s="13">
        <v>3</v>
      </c>
      <c r="CN97" s="13">
        <v>12</v>
      </c>
      <c r="CO97" s="13">
        <v>11</v>
      </c>
      <c r="CP97" s="13">
        <v>0</v>
      </c>
      <c r="CQ97" s="13">
        <v>9</v>
      </c>
      <c r="CR97" s="13">
        <v>1</v>
      </c>
      <c r="CS97" s="13">
        <v>0</v>
      </c>
      <c r="CT97" s="13">
        <v>1</v>
      </c>
      <c r="CU97" s="13">
        <v>5</v>
      </c>
      <c r="CV97" s="14">
        <v>431</v>
      </c>
      <c r="CW97" s="13">
        <v>0</v>
      </c>
      <c r="CX97" s="13">
        <v>0</v>
      </c>
      <c r="CY97" s="13">
        <v>0</v>
      </c>
      <c r="CZ97" s="13">
        <v>0</v>
      </c>
      <c r="DA97" s="13">
        <v>0</v>
      </c>
      <c r="DB97" s="14">
        <v>0</v>
      </c>
      <c r="DC97" s="14">
        <v>431</v>
      </c>
      <c r="DD97" s="13">
        <v>0</v>
      </c>
      <c r="DE97" s="13">
        <v>0</v>
      </c>
      <c r="DF97" s="13">
        <v>0</v>
      </c>
      <c r="DG97" s="13">
        <v>0</v>
      </c>
      <c r="DH97" s="13">
        <v>0</v>
      </c>
      <c r="DI97" s="13">
        <v>0</v>
      </c>
      <c r="DJ97" s="14">
        <v>0</v>
      </c>
      <c r="DK97" s="13">
        <v>0</v>
      </c>
      <c r="DL97" s="13">
        <v>0</v>
      </c>
      <c r="DM97" s="13">
        <v>0</v>
      </c>
      <c r="DN97" s="14">
        <v>431</v>
      </c>
    </row>
    <row r="98" spans="1:118" ht="16" thickBot="1" x14ac:dyDescent="0.25">
      <c r="A98" s="10"/>
      <c r="B98" s="11" t="s">
        <v>512</v>
      </c>
      <c r="C98" s="12" t="s">
        <v>513</v>
      </c>
      <c r="D98" s="13">
        <v>5</v>
      </c>
      <c r="E98" s="13">
        <v>0</v>
      </c>
      <c r="F98" s="13">
        <v>1</v>
      </c>
      <c r="G98" s="13">
        <v>0</v>
      </c>
      <c r="H98" s="13">
        <v>1</v>
      </c>
      <c r="I98" s="13">
        <v>3</v>
      </c>
      <c r="J98" s="13">
        <v>1</v>
      </c>
      <c r="K98" s="13">
        <v>0</v>
      </c>
      <c r="L98" s="13">
        <v>1</v>
      </c>
      <c r="M98" s="13">
        <v>0</v>
      </c>
      <c r="N98" s="13">
        <v>1</v>
      </c>
      <c r="O98" s="13">
        <v>3</v>
      </c>
      <c r="P98" s="13">
        <v>2</v>
      </c>
      <c r="Q98" s="13">
        <v>0</v>
      </c>
      <c r="R98" s="13">
        <v>0</v>
      </c>
      <c r="S98" s="13">
        <v>0</v>
      </c>
      <c r="T98" s="13">
        <v>2</v>
      </c>
      <c r="U98" s="13">
        <v>0</v>
      </c>
      <c r="V98" s="13">
        <v>4</v>
      </c>
      <c r="W98" s="13">
        <v>2</v>
      </c>
      <c r="X98" s="13">
        <v>2</v>
      </c>
      <c r="Y98" s="13">
        <v>0</v>
      </c>
      <c r="Z98" s="13">
        <v>6</v>
      </c>
      <c r="AA98" s="13">
        <v>1</v>
      </c>
      <c r="AB98" s="13">
        <v>2</v>
      </c>
      <c r="AC98" s="13">
        <v>0</v>
      </c>
      <c r="AD98" s="13">
        <v>0</v>
      </c>
      <c r="AE98" s="13">
        <v>12</v>
      </c>
      <c r="AF98" s="13">
        <v>0</v>
      </c>
      <c r="AG98" s="13">
        <v>1</v>
      </c>
      <c r="AH98" s="13">
        <v>2</v>
      </c>
      <c r="AI98" s="13">
        <v>21</v>
      </c>
      <c r="AJ98" s="13">
        <v>3</v>
      </c>
      <c r="AK98" s="13">
        <v>1</v>
      </c>
      <c r="AL98" s="13">
        <v>3</v>
      </c>
      <c r="AM98" s="13">
        <v>2</v>
      </c>
      <c r="AN98" s="13">
        <v>0</v>
      </c>
      <c r="AO98" s="13">
        <v>2</v>
      </c>
      <c r="AP98" s="13">
        <v>10</v>
      </c>
      <c r="AQ98" s="13">
        <v>1</v>
      </c>
      <c r="AR98" s="13">
        <v>3</v>
      </c>
      <c r="AS98" s="13">
        <v>0</v>
      </c>
      <c r="AT98" s="13">
        <v>1</v>
      </c>
      <c r="AU98" s="13">
        <v>1</v>
      </c>
      <c r="AV98" s="13">
        <v>0</v>
      </c>
      <c r="AW98" s="13">
        <v>1</v>
      </c>
      <c r="AX98" s="13">
        <v>2</v>
      </c>
      <c r="AY98" s="13">
        <v>0</v>
      </c>
      <c r="AZ98" s="13">
        <v>0</v>
      </c>
      <c r="BA98" s="13">
        <v>1</v>
      </c>
      <c r="BB98" s="13">
        <v>0</v>
      </c>
      <c r="BC98" s="13">
        <v>1</v>
      </c>
      <c r="BD98" s="13">
        <v>0</v>
      </c>
      <c r="BE98" s="13">
        <v>0</v>
      </c>
      <c r="BF98" s="13">
        <v>1</v>
      </c>
      <c r="BG98" s="13">
        <v>0</v>
      </c>
      <c r="BH98" s="13">
        <v>0</v>
      </c>
      <c r="BI98" s="13">
        <v>1</v>
      </c>
      <c r="BJ98" s="13">
        <v>0</v>
      </c>
      <c r="BK98" s="13">
        <v>0</v>
      </c>
      <c r="BL98" s="13">
        <v>1</v>
      </c>
      <c r="BM98" s="13">
        <v>0</v>
      </c>
      <c r="BN98" s="13">
        <v>2</v>
      </c>
      <c r="BO98" s="13">
        <v>0</v>
      </c>
      <c r="BP98" s="13">
        <v>2</v>
      </c>
      <c r="BQ98" s="13">
        <v>0</v>
      </c>
      <c r="BR98" s="13">
        <v>1</v>
      </c>
      <c r="BS98" s="13">
        <v>8</v>
      </c>
      <c r="BT98" s="13">
        <v>5</v>
      </c>
      <c r="BU98" s="13">
        <v>41</v>
      </c>
      <c r="BV98" s="13">
        <v>0</v>
      </c>
      <c r="BW98" s="13">
        <v>1</v>
      </c>
      <c r="BX98" s="13">
        <v>0</v>
      </c>
      <c r="BY98" s="13">
        <v>11</v>
      </c>
      <c r="BZ98" s="13">
        <v>3</v>
      </c>
      <c r="CA98" s="13">
        <v>0</v>
      </c>
      <c r="CB98" s="13">
        <v>1</v>
      </c>
      <c r="CC98" s="13">
        <v>2</v>
      </c>
      <c r="CD98" s="13">
        <v>4</v>
      </c>
      <c r="CE98" s="13">
        <v>0</v>
      </c>
      <c r="CF98" s="13">
        <v>0</v>
      </c>
      <c r="CG98" s="13">
        <v>7</v>
      </c>
      <c r="CH98" s="13">
        <v>0</v>
      </c>
      <c r="CI98" s="13">
        <v>0</v>
      </c>
      <c r="CJ98" s="13">
        <v>1</v>
      </c>
      <c r="CK98" s="13">
        <v>0</v>
      </c>
      <c r="CL98" s="13">
        <v>0</v>
      </c>
      <c r="CM98" s="13">
        <v>1</v>
      </c>
      <c r="CN98" s="13">
        <v>0</v>
      </c>
      <c r="CO98" s="13">
        <v>0</v>
      </c>
      <c r="CP98" s="13">
        <v>0</v>
      </c>
      <c r="CQ98" s="13">
        <v>1</v>
      </c>
      <c r="CR98" s="13">
        <v>3</v>
      </c>
      <c r="CS98" s="13">
        <v>0</v>
      </c>
      <c r="CT98" s="13">
        <v>2</v>
      </c>
      <c r="CU98" s="13">
        <v>1</v>
      </c>
      <c r="CV98" s="14">
        <v>205</v>
      </c>
      <c r="CW98" s="13">
        <v>1</v>
      </c>
      <c r="CX98" s="13">
        <v>0</v>
      </c>
      <c r="CY98" s="13">
        <v>0</v>
      </c>
      <c r="CZ98" s="13">
        <v>4</v>
      </c>
      <c r="DA98" s="13">
        <v>0</v>
      </c>
      <c r="DB98" s="14">
        <v>5</v>
      </c>
      <c r="DC98" s="14">
        <v>210</v>
      </c>
      <c r="DD98" s="13">
        <v>0</v>
      </c>
      <c r="DE98" s="13">
        <v>0</v>
      </c>
      <c r="DF98" s="13">
        <v>0</v>
      </c>
      <c r="DG98" s="13">
        <v>0</v>
      </c>
      <c r="DH98" s="13">
        <v>0</v>
      </c>
      <c r="DI98" s="13">
        <v>0</v>
      </c>
      <c r="DJ98" s="14">
        <v>0</v>
      </c>
      <c r="DK98" s="13">
        <v>0</v>
      </c>
      <c r="DL98" s="13">
        <v>7</v>
      </c>
      <c r="DM98" s="13">
        <v>0</v>
      </c>
      <c r="DN98" s="14">
        <v>217</v>
      </c>
    </row>
    <row r="99" spans="1:118" ht="17" thickTop="1" thickBot="1" x14ac:dyDescent="0.25">
      <c r="A99" s="61" t="s">
        <v>514</v>
      </c>
      <c r="B99" s="61"/>
      <c r="C99" s="61"/>
      <c r="D99" s="8">
        <v>14310</v>
      </c>
      <c r="E99" s="8">
        <v>7444</v>
      </c>
      <c r="F99" s="8">
        <v>14990</v>
      </c>
      <c r="G99" s="8">
        <v>6529</v>
      </c>
      <c r="H99" s="8">
        <v>8227</v>
      </c>
      <c r="I99" s="8">
        <v>19870</v>
      </c>
      <c r="J99" s="8">
        <v>8483</v>
      </c>
      <c r="K99" s="8">
        <v>5891</v>
      </c>
      <c r="L99" s="8">
        <v>4906</v>
      </c>
      <c r="M99" s="8">
        <v>9429</v>
      </c>
      <c r="N99" s="8">
        <v>10790</v>
      </c>
      <c r="O99" s="8">
        <v>10327</v>
      </c>
      <c r="P99" s="8">
        <v>64944</v>
      </c>
      <c r="Q99" s="8">
        <v>15918</v>
      </c>
      <c r="R99" s="8">
        <v>6888</v>
      </c>
      <c r="S99" s="8">
        <v>9145</v>
      </c>
      <c r="T99" s="8">
        <v>15851</v>
      </c>
      <c r="U99" s="8">
        <v>8261</v>
      </c>
      <c r="V99" s="8">
        <v>5566</v>
      </c>
      <c r="W99" s="8">
        <v>12419</v>
      </c>
      <c r="X99" s="8">
        <v>15781</v>
      </c>
      <c r="Y99" s="8">
        <v>5708</v>
      </c>
      <c r="Z99" s="8">
        <v>12310</v>
      </c>
      <c r="AA99" s="8">
        <v>13788</v>
      </c>
      <c r="AB99" s="8">
        <v>11883</v>
      </c>
      <c r="AC99" s="8">
        <v>11775</v>
      </c>
      <c r="AD99" s="8">
        <v>13901</v>
      </c>
      <c r="AE99" s="8">
        <v>35309</v>
      </c>
      <c r="AF99" s="8">
        <v>3232</v>
      </c>
      <c r="AG99" s="8">
        <v>4405</v>
      </c>
      <c r="AH99" s="8">
        <v>21733</v>
      </c>
      <c r="AI99" s="8">
        <v>48600</v>
      </c>
      <c r="AJ99" s="8">
        <v>5893</v>
      </c>
      <c r="AK99" s="8">
        <v>48406</v>
      </c>
      <c r="AL99" s="8">
        <v>21344</v>
      </c>
      <c r="AM99" s="8">
        <v>35959</v>
      </c>
      <c r="AN99" s="8">
        <v>6942</v>
      </c>
      <c r="AO99" s="8">
        <v>15395</v>
      </c>
      <c r="AP99" s="8">
        <v>47333</v>
      </c>
      <c r="AQ99" s="8">
        <v>9685</v>
      </c>
      <c r="AR99" s="8">
        <v>16547</v>
      </c>
      <c r="AS99" s="8">
        <v>7857</v>
      </c>
      <c r="AT99" s="8">
        <v>29317</v>
      </c>
      <c r="AU99" s="8">
        <v>6026</v>
      </c>
      <c r="AV99" s="8">
        <v>52099</v>
      </c>
      <c r="AW99" s="8">
        <v>25615</v>
      </c>
      <c r="AX99" s="8">
        <v>5423</v>
      </c>
      <c r="AY99" s="8">
        <v>10157</v>
      </c>
      <c r="AZ99" s="8">
        <v>4386</v>
      </c>
      <c r="BA99" s="8">
        <v>19339</v>
      </c>
      <c r="BB99" s="8">
        <v>15874</v>
      </c>
      <c r="BC99" s="8">
        <v>16430</v>
      </c>
      <c r="BD99" s="8">
        <v>4250</v>
      </c>
      <c r="BE99" s="8">
        <v>10627</v>
      </c>
      <c r="BF99" s="8">
        <v>14487</v>
      </c>
      <c r="BG99" s="8">
        <v>6486</v>
      </c>
      <c r="BH99" s="8">
        <v>23996</v>
      </c>
      <c r="BI99" s="8">
        <v>24206</v>
      </c>
      <c r="BJ99" s="8">
        <v>5005</v>
      </c>
      <c r="BK99" s="8">
        <v>46511</v>
      </c>
      <c r="BL99" s="8">
        <v>21805</v>
      </c>
      <c r="BM99" s="8">
        <v>7311</v>
      </c>
      <c r="BN99" s="8">
        <v>24635</v>
      </c>
      <c r="BO99" s="8">
        <v>27058</v>
      </c>
      <c r="BP99" s="8">
        <v>22944</v>
      </c>
      <c r="BQ99" s="8">
        <v>5326</v>
      </c>
      <c r="BR99" s="8">
        <v>16949</v>
      </c>
      <c r="BS99" s="8">
        <v>30038</v>
      </c>
      <c r="BT99" s="8">
        <v>15154</v>
      </c>
      <c r="BU99" s="8">
        <v>52018</v>
      </c>
      <c r="BV99" s="8">
        <v>4581</v>
      </c>
      <c r="BW99" s="8">
        <v>15750</v>
      </c>
      <c r="BX99" s="8">
        <v>14901</v>
      </c>
      <c r="BY99" s="8">
        <v>21212</v>
      </c>
      <c r="BZ99" s="8">
        <v>17210</v>
      </c>
      <c r="CA99" s="8">
        <v>28386</v>
      </c>
      <c r="CB99" s="8">
        <v>30106</v>
      </c>
      <c r="CC99" s="8">
        <v>30196</v>
      </c>
      <c r="CD99" s="8">
        <v>43492</v>
      </c>
      <c r="CE99" s="8">
        <v>10245</v>
      </c>
      <c r="CF99" s="8">
        <v>14030</v>
      </c>
      <c r="CG99" s="8">
        <v>12000</v>
      </c>
      <c r="CH99" s="8">
        <v>7992</v>
      </c>
      <c r="CI99" s="8" t="s">
        <v>115</v>
      </c>
      <c r="CJ99" s="8">
        <v>12957</v>
      </c>
      <c r="CK99" s="8">
        <v>23804</v>
      </c>
      <c r="CL99" s="8">
        <v>14454</v>
      </c>
      <c r="CM99" s="8">
        <v>17159</v>
      </c>
      <c r="CN99" s="8">
        <v>6237</v>
      </c>
      <c r="CO99" s="8">
        <v>7833</v>
      </c>
      <c r="CP99" s="8">
        <v>1872</v>
      </c>
      <c r="CQ99" s="8">
        <v>38648</v>
      </c>
      <c r="CR99" s="8">
        <v>24194</v>
      </c>
      <c r="CS99" s="8">
        <v>22710</v>
      </c>
      <c r="CT99" s="8">
        <v>31209</v>
      </c>
      <c r="CU99" s="8">
        <v>27406</v>
      </c>
      <c r="CV99" s="9">
        <v>1726903</v>
      </c>
      <c r="CW99" s="8">
        <v>5183</v>
      </c>
      <c r="CX99" s="8">
        <v>6664</v>
      </c>
      <c r="CY99" s="8">
        <v>4908</v>
      </c>
      <c r="CZ99" s="8">
        <v>11042</v>
      </c>
      <c r="DA99" s="8">
        <v>1527</v>
      </c>
      <c r="DB99" s="9">
        <v>29324</v>
      </c>
      <c r="DC99" s="9">
        <v>1756227</v>
      </c>
      <c r="DD99" s="8">
        <v>52</v>
      </c>
      <c r="DE99" s="8">
        <v>55</v>
      </c>
      <c r="DF99" s="8">
        <v>210</v>
      </c>
      <c r="DG99" s="8">
        <v>49</v>
      </c>
      <c r="DH99" s="8">
        <v>1536</v>
      </c>
      <c r="DI99" s="8">
        <v>2197</v>
      </c>
      <c r="DJ99" s="9">
        <v>4099</v>
      </c>
      <c r="DK99" s="8">
        <v>115</v>
      </c>
      <c r="DL99" s="8">
        <v>8463</v>
      </c>
      <c r="DM99" s="8">
        <v>0</v>
      </c>
      <c r="DN99" s="9">
        <v>1768904</v>
      </c>
    </row>
    <row r="100" spans="1:118" ht="16" thickTop="1" x14ac:dyDescent="0.2">
      <c r="A100" s="10"/>
      <c r="B100" s="11" t="s">
        <v>515</v>
      </c>
      <c r="C100" s="12" t="s">
        <v>516</v>
      </c>
      <c r="D100" s="13">
        <v>4742</v>
      </c>
      <c r="E100" s="13">
        <v>2004</v>
      </c>
      <c r="F100" s="13">
        <v>3918</v>
      </c>
      <c r="G100" s="13">
        <v>1857</v>
      </c>
      <c r="H100" s="13">
        <v>2219</v>
      </c>
      <c r="I100" s="13">
        <v>3231</v>
      </c>
      <c r="J100" s="13">
        <v>2382</v>
      </c>
      <c r="K100" s="13">
        <v>154</v>
      </c>
      <c r="L100" s="13">
        <v>1533</v>
      </c>
      <c r="M100" s="13">
        <v>3302</v>
      </c>
      <c r="N100" s="13">
        <v>1559</v>
      </c>
      <c r="O100" s="13">
        <v>2491</v>
      </c>
      <c r="P100" s="13">
        <v>10389</v>
      </c>
      <c r="Q100" s="13">
        <v>2809</v>
      </c>
      <c r="R100" s="13">
        <v>1351</v>
      </c>
      <c r="S100" s="13">
        <v>3091</v>
      </c>
      <c r="T100" s="13">
        <v>6431</v>
      </c>
      <c r="U100" s="13">
        <v>4172</v>
      </c>
      <c r="V100" s="13">
        <v>1996</v>
      </c>
      <c r="W100" s="13">
        <v>4228</v>
      </c>
      <c r="X100" s="13">
        <v>1092</v>
      </c>
      <c r="Y100" s="13">
        <v>866</v>
      </c>
      <c r="Z100" s="13">
        <v>2518</v>
      </c>
      <c r="AA100" s="13">
        <v>1958</v>
      </c>
      <c r="AB100" s="13">
        <v>4816</v>
      </c>
      <c r="AC100" s="13">
        <v>5513</v>
      </c>
      <c r="AD100" s="13">
        <v>5686</v>
      </c>
      <c r="AE100" s="13">
        <v>2102</v>
      </c>
      <c r="AF100" s="13">
        <v>496</v>
      </c>
      <c r="AG100" s="13">
        <v>627</v>
      </c>
      <c r="AH100" s="13">
        <v>7725</v>
      </c>
      <c r="AI100" s="13">
        <v>18168</v>
      </c>
      <c r="AJ100" s="13">
        <v>2451</v>
      </c>
      <c r="AK100" s="13">
        <v>20639</v>
      </c>
      <c r="AL100" s="13">
        <v>4018</v>
      </c>
      <c r="AM100" s="13">
        <v>10967</v>
      </c>
      <c r="AN100" s="13">
        <v>1486</v>
      </c>
      <c r="AO100" s="13">
        <v>5207</v>
      </c>
      <c r="AP100" s="13">
        <v>17244</v>
      </c>
      <c r="AQ100" s="13">
        <v>2929</v>
      </c>
      <c r="AR100" s="13">
        <v>4094</v>
      </c>
      <c r="AS100" s="13">
        <v>4525</v>
      </c>
      <c r="AT100" s="13">
        <v>8121</v>
      </c>
      <c r="AU100" s="13">
        <v>1581</v>
      </c>
      <c r="AV100" s="13">
        <v>4296</v>
      </c>
      <c r="AW100" s="13">
        <v>9614</v>
      </c>
      <c r="AX100" s="13">
        <v>2113</v>
      </c>
      <c r="AY100" s="13">
        <v>2736</v>
      </c>
      <c r="AZ100" s="13">
        <v>2425</v>
      </c>
      <c r="BA100" s="13">
        <v>1311</v>
      </c>
      <c r="BB100" s="13">
        <v>10464</v>
      </c>
      <c r="BC100" s="13">
        <v>2299</v>
      </c>
      <c r="BD100" s="13">
        <v>792</v>
      </c>
      <c r="BE100" s="13">
        <v>2261</v>
      </c>
      <c r="BF100" s="13">
        <v>4173</v>
      </c>
      <c r="BG100" s="13">
        <v>1666</v>
      </c>
      <c r="BH100" s="13">
        <v>4538</v>
      </c>
      <c r="BI100" s="13">
        <v>4748</v>
      </c>
      <c r="BJ100" s="13">
        <v>1423</v>
      </c>
      <c r="BK100" s="13">
        <v>11179</v>
      </c>
      <c r="BL100" s="13">
        <v>4780</v>
      </c>
      <c r="BM100" s="13">
        <v>1351</v>
      </c>
      <c r="BN100" s="13">
        <v>1385</v>
      </c>
      <c r="BO100" s="13">
        <v>1774</v>
      </c>
      <c r="BP100" s="13">
        <v>4043</v>
      </c>
      <c r="BQ100" s="13">
        <v>1531</v>
      </c>
      <c r="BR100" s="13">
        <v>7784</v>
      </c>
      <c r="BS100" s="13">
        <v>3017</v>
      </c>
      <c r="BT100" s="13">
        <v>5050</v>
      </c>
      <c r="BU100" s="13">
        <v>14559</v>
      </c>
      <c r="BV100" s="13">
        <v>2020</v>
      </c>
      <c r="BW100" s="13">
        <v>3137</v>
      </c>
      <c r="BX100" s="13">
        <v>5257</v>
      </c>
      <c r="BY100" s="13">
        <v>6795</v>
      </c>
      <c r="BZ100" s="13">
        <v>3632</v>
      </c>
      <c r="CA100" s="13">
        <v>1196</v>
      </c>
      <c r="CB100" s="13">
        <v>6963</v>
      </c>
      <c r="CC100" s="13">
        <v>8735</v>
      </c>
      <c r="CD100" s="13">
        <v>13784</v>
      </c>
      <c r="CE100" s="13">
        <v>4153</v>
      </c>
      <c r="CF100" s="13">
        <v>1663</v>
      </c>
      <c r="CG100" s="13">
        <v>4510</v>
      </c>
      <c r="CH100" s="13">
        <v>2565</v>
      </c>
      <c r="CI100" s="13">
        <v>6098</v>
      </c>
      <c r="CJ100" s="13">
        <v>3975</v>
      </c>
      <c r="CK100" s="13">
        <v>5097</v>
      </c>
      <c r="CL100" s="13">
        <v>5962</v>
      </c>
      <c r="CM100" s="13">
        <v>4844</v>
      </c>
      <c r="CN100" s="13">
        <v>1882</v>
      </c>
      <c r="CO100" s="13">
        <v>3076</v>
      </c>
      <c r="CP100" s="13">
        <v>165</v>
      </c>
      <c r="CQ100" s="13">
        <v>10429</v>
      </c>
      <c r="CR100" s="13">
        <v>5871</v>
      </c>
      <c r="CS100" s="13">
        <v>3352</v>
      </c>
      <c r="CT100" s="13">
        <v>6086</v>
      </c>
      <c r="CU100" s="13">
        <v>8059</v>
      </c>
      <c r="CV100" s="14">
        <v>439306</v>
      </c>
      <c r="CW100" s="13">
        <v>1511</v>
      </c>
      <c r="CX100" s="13">
        <v>1308</v>
      </c>
      <c r="CY100" s="13">
        <v>180</v>
      </c>
      <c r="CZ100" s="13">
        <v>2029</v>
      </c>
      <c r="DA100" s="13">
        <v>0</v>
      </c>
      <c r="DB100" s="14">
        <v>5028</v>
      </c>
      <c r="DC100" s="14">
        <v>444334</v>
      </c>
      <c r="DD100" s="13">
        <v>0</v>
      </c>
      <c r="DE100" s="13">
        <v>1</v>
      </c>
      <c r="DF100" s="13">
        <v>10</v>
      </c>
      <c r="DG100" s="13">
        <v>49</v>
      </c>
      <c r="DH100" s="13">
        <v>0</v>
      </c>
      <c r="DI100" s="13">
        <v>0</v>
      </c>
      <c r="DJ100" s="14">
        <v>60</v>
      </c>
      <c r="DK100" s="13">
        <v>5</v>
      </c>
      <c r="DL100" s="13">
        <v>0</v>
      </c>
      <c r="DM100" s="13">
        <v>0</v>
      </c>
      <c r="DN100" s="14">
        <v>444399</v>
      </c>
    </row>
    <row r="101" spans="1:118" x14ac:dyDescent="0.2">
      <c r="A101" s="10"/>
      <c r="B101" s="11" t="s">
        <v>517</v>
      </c>
      <c r="C101" s="12" t="s">
        <v>518</v>
      </c>
      <c r="D101" s="13">
        <v>1381</v>
      </c>
      <c r="E101" s="13">
        <v>1899</v>
      </c>
      <c r="F101" s="13">
        <v>1258</v>
      </c>
      <c r="G101" s="13">
        <v>1693</v>
      </c>
      <c r="H101" s="13">
        <v>1111</v>
      </c>
      <c r="I101" s="13">
        <v>1138</v>
      </c>
      <c r="J101" s="13">
        <v>889</v>
      </c>
      <c r="K101" s="13">
        <v>1001</v>
      </c>
      <c r="L101" s="13">
        <v>1564</v>
      </c>
      <c r="M101" s="13">
        <v>2606</v>
      </c>
      <c r="N101" s="13">
        <v>2753</v>
      </c>
      <c r="O101" s="13">
        <v>2556</v>
      </c>
      <c r="P101" s="13">
        <v>6189</v>
      </c>
      <c r="Q101" s="13">
        <v>3912</v>
      </c>
      <c r="R101" s="13">
        <v>1731</v>
      </c>
      <c r="S101" s="13">
        <v>3266</v>
      </c>
      <c r="T101" s="13">
        <v>2184</v>
      </c>
      <c r="U101" s="13">
        <v>1108</v>
      </c>
      <c r="V101" s="13">
        <v>1933</v>
      </c>
      <c r="W101" s="13">
        <v>752</v>
      </c>
      <c r="X101" s="13">
        <v>2538</v>
      </c>
      <c r="Y101" s="13">
        <v>3105</v>
      </c>
      <c r="Z101" s="13">
        <v>4462</v>
      </c>
      <c r="AA101" s="13">
        <v>330</v>
      </c>
      <c r="AB101" s="13">
        <v>2357</v>
      </c>
      <c r="AC101" s="13">
        <v>964</v>
      </c>
      <c r="AD101" s="13">
        <v>3625</v>
      </c>
      <c r="AE101" s="13">
        <v>6115</v>
      </c>
      <c r="AF101" s="13">
        <v>486</v>
      </c>
      <c r="AG101" s="13">
        <v>86</v>
      </c>
      <c r="AH101" s="13">
        <v>2723</v>
      </c>
      <c r="AI101" s="13">
        <v>4341</v>
      </c>
      <c r="AJ101" s="13">
        <v>651</v>
      </c>
      <c r="AK101" s="13">
        <v>9545</v>
      </c>
      <c r="AL101" s="13">
        <v>2645</v>
      </c>
      <c r="AM101" s="13">
        <v>8371</v>
      </c>
      <c r="AN101" s="13">
        <v>2972</v>
      </c>
      <c r="AO101" s="13">
        <v>3962</v>
      </c>
      <c r="AP101" s="13">
        <v>5695</v>
      </c>
      <c r="AQ101" s="13">
        <v>1078</v>
      </c>
      <c r="AR101" s="13">
        <v>1792</v>
      </c>
      <c r="AS101" s="13">
        <v>1363</v>
      </c>
      <c r="AT101" s="13">
        <v>5799</v>
      </c>
      <c r="AU101" s="13">
        <v>3011</v>
      </c>
      <c r="AV101" s="13">
        <v>18300</v>
      </c>
      <c r="AW101" s="13">
        <v>3792</v>
      </c>
      <c r="AX101" s="13">
        <v>904</v>
      </c>
      <c r="AY101" s="13">
        <v>3848</v>
      </c>
      <c r="AZ101" s="13">
        <v>722</v>
      </c>
      <c r="BA101" s="13">
        <v>2120</v>
      </c>
      <c r="BB101" s="13">
        <v>905</v>
      </c>
      <c r="BC101" s="13">
        <v>3586</v>
      </c>
      <c r="BD101" s="13">
        <v>672</v>
      </c>
      <c r="BE101" s="13">
        <v>717</v>
      </c>
      <c r="BF101" s="13">
        <v>2181</v>
      </c>
      <c r="BG101" s="13">
        <v>1300</v>
      </c>
      <c r="BH101" s="13">
        <v>823</v>
      </c>
      <c r="BI101" s="13">
        <v>5267</v>
      </c>
      <c r="BJ101" s="13">
        <v>1867</v>
      </c>
      <c r="BK101" s="13">
        <v>11731</v>
      </c>
      <c r="BL101" s="13">
        <v>5726</v>
      </c>
      <c r="BM101" s="13">
        <v>1123</v>
      </c>
      <c r="BN101" s="13">
        <v>13448</v>
      </c>
      <c r="BO101" s="13">
        <v>17723</v>
      </c>
      <c r="BP101" s="13">
        <v>5647</v>
      </c>
      <c r="BQ101" s="13">
        <v>1404</v>
      </c>
      <c r="BR101" s="13">
        <v>3602</v>
      </c>
      <c r="BS101" s="13">
        <v>416</v>
      </c>
      <c r="BT101" s="13">
        <v>269</v>
      </c>
      <c r="BU101" s="13">
        <v>12881</v>
      </c>
      <c r="BV101" s="13">
        <v>545</v>
      </c>
      <c r="BW101" s="13">
        <v>1864</v>
      </c>
      <c r="BX101" s="13">
        <v>835</v>
      </c>
      <c r="BY101" s="13">
        <v>1429</v>
      </c>
      <c r="BZ101" s="13">
        <v>1763</v>
      </c>
      <c r="CA101" s="13">
        <v>570</v>
      </c>
      <c r="CB101" s="13">
        <v>807</v>
      </c>
      <c r="CC101" s="13">
        <v>8660</v>
      </c>
      <c r="CD101" s="13">
        <v>8363</v>
      </c>
      <c r="CE101" s="13">
        <v>1330</v>
      </c>
      <c r="CF101" s="13">
        <v>4857</v>
      </c>
      <c r="CG101" s="13">
        <v>2990</v>
      </c>
      <c r="CH101" s="13">
        <v>2139</v>
      </c>
      <c r="CI101" s="13">
        <v>2523</v>
      </c>
      <c r="CJ101" s="13">
        <v>1237</v>
      </c>
      <c r="CK101" s="13">
        <v>3172</v>
      </c>
      <c r="CL101" s="13">
        <v>1678</v>
      </c>
      <c r="CM101" s="13">
        <v>4351</v>
      </c>
      <c r="CN101" s="13">
        <v>663</v>
      </c>
      <c r="CO101" s="13">
        <v>2013</v>
      </c>
      <c r="CP101" s="13">
        <v>44</v>
      </c>
      <c r="CQ101" s="13">
        <v>7181</v>
      </c>
      <c r="CR101" s="13">
        <v>2459</v>
      </c>
      <c r="CS101" s="13">
        <v>677</v>
      </c>
      <c r="CT101" s="13">
        <v>4267</v>
      </c>
      <c r="CU101" s="13">
        <v>6051</v>
      </c>
      <c r="CV101" s="14">
        <v>312382</v>
      </c>
      <c r="CW101" s="13">
        <v>1708</v>
      </c>
      <c r="CX101" s="13">
        <v>1117</v>
      </c>
      <c r="CY101" s="13">
        <v>101</v>
      </c>
      <c r="CZ101" s="13">
        <v>1063</v>
      </c>
      <c r="DA101" s="13">
        <v>637</v>
      </c>
      <c r="DB101" s="14">
        <v>4626</v>
      </c>
      <c r="DC101" s="14">
        <v>317008</v>
      </c>
      <c r="DD101" s="13">
        <v>3</v>
      </c>
      <c r="DE101" s="13">
        <v>5</v>
      </c>
      <c r="DF101" s="13">
        <v>10</v>
      </c>
      <c r="DG101" s="13">
        <v>0</v>
      </c>
      <c r="DH101" s="13">
        <v>0</v>
      </c>
      <c r="DI101" s="13">
        <v>0</v>
      </c>
      <c r="DJ101" s="14">
        <v>18</v>
      </c>
      <c r="DK101" s="13">
        <v>4</v>
      </c>
      <c r="DL101" s="13">
        <v>916</v>
      </c>
      <c r="DM101" s="13">
        <v>0</v>
      </c>
      <c r="DN101" s="14">
        <v>317946</v>
      </c>
    </row>
    <row r="102" spans="1:118" x14ac:dyDescent="0.2">
      <c r="A102" s="10"/>
      <c r="B102" s="11" t="s">
        <v>519</v>
      </c>
      <c r="C102" s="12" t="s">
        <v>520</v>
      </c>
      <c r="D102" s="13">
        <v>553</v>
      </c>
      <c r="E102" s="13">
        <v>1217</v>
      </c>
      <c r="F102" s="13">
        <v>2585</v>
      </c>
      <c r="G102" s="13">
        <v>507</v>
      </c>
      <c r="H102" s="13">
        <v>419</v>
      </c>
      <c r="I102" s="13">
        <v>601</v>
      </c>
      <c r="J102" s="13">
        <v>1258</v>
      </c>
      <c r="K102" s="13">
        <v>2825</v>
      </c>
      <c r="L102" s="13">
        <v>661</v>
      </c>
      <c r="M102" s="13">
        <v>15</v>
      </c>
      <c r="N102" s="13">
        <v>265</v>
      </c>
      <c r="O102" s="13">
        <v>1035</v>
      </c>
      <c r="P102" s="13">
        <v>2533</v>
      </c>
      <c r="Q102" s="13">
        <v>2174</v>
      </c>
      <c r="R102" s="13">
        <v>83</v>
      </c>
      <c r="S102" s="13">
        <v>504</v>
      </c>
      <c r="T102" s="13">
        <v>492</v>
      </c>
      <c r="U102" s="13">
        <v>42</v>
      </c>
      <c r="V102" s="13">
        <v>101</v>
      </c>
      <c r="W102" s="13">
        <v>1459</v>
      </c>
      <c r="X102" s="13">
        <v>5636</v>
      </c>
      <c r="Y102" s="13">
        <v>1180</v>
      </c>
      <c r="Z102" s="13">
        <v>1292</v>
      </c>
      <c r="AA102" s="13">
        <v>1849</v>
      </c>
      <c r="AB102" s="13">
        <v>180</v>
      </c>
      <c r="AC102" s="13">
        <v>967</v>
      </c>
      <c r="AD102" s="13">
        <v>536</v>
      </c>
      <c r="AE102" s="13">
        <v>7462</v>
      </c>
      <c r="AF102" s="13">
        <v>214</v>
      </c>
      <c r="AG102" s="13">
        <v>688</v>
      </c>
      <c r="AH102" s="13">
        <v>2078</v>
      </c>
      <c r="AI102" s="13">
        <v>1130</v>
      </c>
      <c r="AJ102" s="13">
        <v>40</v>
      </c>
      <c r="AK102" s="13">
        <v>2848</v>
      </c>
      <c r="AL102" s="13">
        <v>494</v>
      </c>
      <c r="AM102" s="13">
        <v>1635</v>
      </c>
      <c r="AN102" s="13">
        <v>136</v>
      </c>
      <c r="AO102" s="13">
        <v>867</v>
      </c>
      <c r="AP102" s="13">
        <v>1580</v>
      </c>
      <c r="AQ102" s="13">
        <v>1187</v>
      </c>
      <c r="AR102" s="13">
        <v>938</v>
      </c>
      <c r="AS102" s="13">
        <v>286</v>
      </c>
      <c r="AT102" s="13">
        <v>1049</v>
      </c>
      <c r="AU102" s="13">
        <v>118</v>
      </c>
      <c r="AV102" s="13">
        <v>7959</v>
      </c>
      <c r="AW102" s="13">
        <v>3932</v>
      </c>
      <c r="AX102" s="13">
        <v>123</v>
      </c>
      <c r="AY102" s="13">
        <v>437</v>
      </c>
      <c r="AZ102" s="13">
        <v>88</v>
      </c>
      <c r="BA102" s="13">
        <v>2663</v>
      </c>
      <c r="BB102" s="13">
        <v>436</v>
      </c>
      <c r="BC102" s="13">
        <v>3339</v>
      </c>
      <c r="BD102" s="13">
        <v>49</v>
      </c>
      <c r="BE102" s="13">
        <v>413</v>
      </c>
      <c r="BF102" s="13">
        <v>1210</v>
      </c>
      <c r="BG102" s="13">
        <v>131</v>
      </c>
      <c r="BH102" s="13">
        <v>7314</v>
      </c>
      <c r="BI102" s="13">
        <v>5180</v>
      </c>
      <c r="BJ102" s="13">
        <v>261</v>
      </c>
      <c r="BK102" s="13">
        <v>4622</v>
      </c>
      <c r="BL102" s="13">
        <v>2994</v>
      </c>
      <c r="BM102" s="13">
        <v>6</v>
      </c>
      <c r="BN102" s="13">
        <v>1707</v>
      </c>
      <c r="BO102" s="13">
        <v>879</v>
      </c>
      <c r="BP102" s="13">
        <v>1104</v>
      </c>
      <c r="BQ102" s="13">
        <v>19</v>
      </c>
      <c r="BR102" s="13">
        <v>429</v>
      </c>
      <c r="BS102" s="13">
        <v>7297</v>
      </c>
      <c r="BT102" s="13">
        <v>1673</v>
      </c>
      <c r="BU102" s="13">
        <v>2348</v>
      </c>
      <c r="BV102" s="13">
        <v>322</v>
      </c>
      <c r="BW102" s="13">
        <v>588</v>
      </c>
      <c r="BX102" s="13">
        <v>382</v>
      </c>
      <c r="BY102" s="13">
        <v>1812</v>
      </c>
      <c r="BZ102" s="13">
        <v>4491</v>
      </c>
      <c r="CA102" s="13">
        <v>904</v>
      </c>
      <c r="CB102" s="13">
        <v>3647</v>
      </c>
      <c r="CC102" s="13">
        <v>1469</v>
      </c>
      <c r="CD102" s="13">
        <v>5160</v>
      </c>
      <c r="CE102" s="13">
        <v>155</v>
      </c>
      <c r="CF102" s="13">
        <v>3302</v>
      </c>
      <c r="CG102" s="13">
        <v>906</v>
      </c>
      <c r="CH102" s="13">
        <v>492</v>
      </c>
      <c r="CI102" s="13">
        <v>1493</v>
      </c>
      <c r="CJ102" s="13">
        <v>1127</v>
      </c>
      <c r="CK102" s="13">
        <v>1747</v>
      </c>
      <c r="CL102" s="13">
        <v>435</v>
      </c>
      <c r="CM102" s="13">
        <v>444</v>
      </c>
      <c r="CN102" s="13">
        <v>725</v>
      </c>
      <c r="CO102" s="13">
        <v>131</v>
      </c>
      <c r="CP102" s="13">
        <v>541</v>
      </c>
      <c r="CQ102" s="13">
        <v>2479</v>
      </c>
      <c r="CR102" s="13">
        <v>1161</v>
      </c>
      <c r="CS102" s="13">
        <v>501</v>
      </c>
      <c r="CT102" s="13">
        <v>1165</v>
      </c>
      <c r="CU102" s="13">
        <v>1076</v>
      </c>
      <c r="CV102" s="14">
        <v>146987</v>
      </c>
      <c r="CW102" s="13">
        <v>4</v>
      </c>
      <c r="CX102" s="13">
        <v>4</v>
      </c>
      <c r="CY102" s="13">
        <v>1218</v>
      </c>
      <c r="CZ102" s="13">
        <v>1223</v>
      </c>
      <c r="DA102" s="13">
        <v>0</v>
      </c>
      <c r="DB102" s="14">
        <v>2449</v>
      </c>
      <c r="DC102" s="14">
        <v>149436</v>
      </c>
      <c r="DD102" s="13">
        <v>15</v>
      </c>
      <c r="DE102" s="13">
        <v>1</v>
      </c>
      <c r="DF102" s="13">
        <v>0</v>
      </c>
      <c r="DG102" s="13">
        <v>0</v>
      </c>
      <c r="DH102" s="13">
        <v>1</v>
      </c>
      <c r="DI102" s="13">
        <v>217</v>
      </c>
      <c r="DJ102" s="14">
        <v>234</v>
      </c>
      <c r="DK102" s="13">
        <v>24</v>
      </c>
      <c r="DL102" s="13">
        <v>1718</v>
      </c>
      <c r="DM102" s="13">
        <v>0</v>
      </c>
      <c r="DN102" s="14">
        <v>151412</v>
      </c>
    </row>
    <row r="103" spans="1:118" x14ac:dyDescent="0.2">
      <c r="A103" s="10"/>
      <c r="B103" s="11" t="s">
        <v>521</v>
      </c>
      <c r="C103" s="12" t="s">
        <v>522</v>
      </c>
      <c r="D103" s="13">
        <v>1090</v>
      </c>
      <c r="E103" s="13">
        <v>126</v>
      </c>
      <c r="F103" s="13">
        <v>390</v>
      </c>
      <c r="G103" s="13">
        <v>124</v>
      </c>
      <c r="H103" s="13">
        <v>109</v>
      </c>
      <c r="I103" s="13">
        <v>7242</v>
      </c>
      <c r="J103" s="13">
        <v>625</v>
      </c>
      <c r="K103" s="13">
        <v>14</v>
      </c>
      <c r="L103" s="13">
        <v>412</v>
      </c>
      <c r="M103" s="13">
        <v>527</v>
      </c>
      <c r="N103" s="13">
        <v>380</v>
      </c>
      <c r="O103" s="13">
        <v>45</v>
      </c>
      <c r="P103" s="13">
        <v>14406</v>
      </c>
      <c r="Q103" s="13">
        <v>687</v>
      </c>
      <c r="R103" s="13">
        <v>93</v>
      </c>
      <c r="S103" s="13">
        <v>29</v>
      </c>
      <c r="T103" s="13">
        <v>231</v>
      </c>
      <c r="U103" s="13">
        <v>149</v>
      </c>
      <c r="V103" s="13">
        <v>16</v>
      </c>
      <c r="W103" s="13">
        <v>400</v>
      </c>
      <c r="X103" s="13">
        <v>2204</v>
      </c>
      <c r="Y103" s="13">
        <v>47</v>
      </c>
      <c r="Z103" s="13">
        <v>31</v>
      </c>
      <c r="AA103" s="13">
        <v>323</v>
      </c>
      <c r="AB103" s="13">
        <v>505</v>
      </c>
      <c r="AC103" s="13">
        <v>182</v>
      </c>
      <c r="AD103" s="13">
        <v>193</v>
      </c>
      <c r="AE103" s="13">
        <v>6397</v>
      </c>
      <c r="AF103" s="13">
        <v>557</v>
      </c>
      <c r="AG103" s="13">
        <v>770</v>
      </c>
      <c r="AH103" s="13">
        <v>1022</v>
      </c>
      <c r="AI103" s="13">
        <v>8630</v>
      </c>
      <c r="AJ103" s="13">
        <v>287</v>
      </c>
      <c r="AK103" s="13">
        <v>1364</v>
      </c>
      <c r="AL103" s="13">
        <v>1846</v>
      </c>
      <c r="AM103" s="13">
        <v>414</v>
      </c>
      <c r="AN103" s="13">
        <v>25</v>
      </c>
      <c r="AO103" s="13">
        <v>2367</v>
      </c>
      <c r="AP103" s="13">
        <v>4827</v>
      </c>
      <c r="AQ103" s="13">
        <v>108</v>
      </c>
      <c r="AR103" s="13">
        <v>336</v>
      </c>
      <c r="AS103" s="13">
        <v>53</v>
      </c>
      <c r="AT103" s="13">
        <v>3237</v>
      </c>
      <c r="AU103" s="13">
        <v>270</v>
      </c>
      <c r="AV103" s="13">
        <v>362</v>
      </c>
      <c r="AW103" s="13">
        <v>41</v>
      </c>
      <c r="AX103" s="13">
        <v>21</v>
      </c>
      <c r="AY103" s="13">
        <v>218</v>
      </c>
      <c r="AZ103" s="13">
        <v>6</v>
      </c>
      <c r="BA103" s="13">
        <v>335</v>
      </c>
      <c r="BB103" s="13">
        <v>90</v>
      </c>
      <c r="BC103" s="13">
        <v>252</v>
      </c>
      <c r="BD103" s="13">
        <v>59</v>
      </c>
      <c r="BE103" s="13">
        <v>134</v>
      </c>
      <c r="BF103" s="13">
        <v>267</v>
      </c>
      <c r="BG103" s="13">
        <v>41</v>
      </c>
      <c r="BH103" s="13">
        <v>303</v>
      </c>
      <c r="BI103" s="13">
        <v>377</v>
      </c>
      <c r="BJ103" s="13">
        <v>424</v>
      </c>
      <c r="BK103" s="13">
        <v>3567</v>
      </c>
      <c r="BL103" s="13">
        <v>374</v>
      </c>
      <c r="BM103" s="13">
        <v>1662</v>
      </c>
      <c r="BN103" s="13">
        <v>649</v>
      </c>
      <c r="BO103" s="13">
        <v>565</v>
      </c>
      <c r="BP103" s="13">
        <v>2143</v>
      </c>
      <c r="BQ103" s="13">
        <v>627</v>
      </c>
      <c r="BR103" s="13">
        <v>356</v>
      </c>
      <c r="BS103" s="13">
        <v>1695</v>
      </c>
      <c r="BT103" s="13">
        <v>1842</v>
      </c>
      <c r="BU103" s="13">
        <v>5219</v>
      </c>
      <c r="BV103" s="13">
        <v>181</v>
      </c>
      <c r="BW103" s="13">
        <v>1101</v>
      </c>
      <c r="BX103" s="13">
        <v>1761</v>
      </c>
      <c r="BY103" s="13">
        <v>1960</v>
      </c>
      <c r="BZ103" s="13">
        <v>2816</v>
      </c>
      <c r="CA103" s="13">
        <v>9891</v>
      </c>
      <c r="CB103" s="13">
        <v>2433</v>
      </c>
      <c r="CC103" s="13">
        <v>2047</v>
      </c>
      <c r="CD103" s="13">
        <v>3626</v>
      </c>
      <c r="CE103" s="13">
        <v>27</v>
      </c>
      <c r="CF103" s="13">
        <v>350</v>
      </c>
      <c r="CG103" s="13">
        <v>508</v>
      </c>
      <c r="CH103" s="13">
        <v>206</v>
      </c>
      <c r="CI103" s="13">
        <v>1119</v>
      </c>
      <c r="CJ103" s="13">
        <v>1057</v>
      </c>
      <c r="CK103" s="13">
        <v>66</v>
      </c>
      <c r="CL103" s="13">
        <v>28</v>
      </c>
      <c r="CM103" s="13">
        <v>33</v>
      </c>
      <c r="CN103" s="13">
        <v>267</v>
      </c>
      <c r="CO103" s="13">
        <v>183</v>
      </c>
      <c r="CP103" s="13">
        <v>223</v>
      </c>
      <c r="CQ103" s="13">
        <v>3363</v>
      </c>
      <c r="CR103" s="13">
        <v>4567</v>
      </c>
      <c r="CS103" s="13">
        <v>11158</v>
      </c>
      <c r="CT103" s="13">
        <v>11593</v>
      </c>
      <c r="CU103" s="13">
        <v>3112</v>
      </c>
      <c r="CV103" s="14">
        <v>148395</v>
      </c>
      <c r="CW103" s="13">
        <v>320</v>
      </c>
      <c r="CX103" s="13">
        <v>14</v>
      </c>
      <c r="CY103" s="13">
        <v>0</v>
      </c>
      <c r="CZ103" s="13">
        <v>877</v>
      </c>
      <c r="DA103" s="13">
        <v>21</v>
      </c>
      <c r="DB103" s="14">
        <v>1232</v>
      </c>
      <c r="DC103" s="14">
        <v>149627</v>
      </c>
      <c r="DD103" s="13">
        <v>0</v>
      </c>
      <c r="DE103" s="13">
        <v>0</v>
      </c>
      <c r="DF103" s="13">
        <v>6</v>
      </c>
      <c r="DG103" s="13">
        <v>0</v>
      </c>
      <c r="DH103" s="13">
        <v>0</v>
      </c>
      <c r="DI103" s="13">
        <v>2</v>
      </c>
      <c r="DJ103" s="14">
        <v>8</v>
      </c>
      <c r="DK103" s="13">
        <v>55</v>
      </c>
      <c r="DL103" s="13">
        <v>2</v>
      </c>
      <c r="DM103" s="13">
        <v>0</v>
      </c>
      <c r="DN103" s="14">
        <v>149692</v>
      </c>
    </row>
    <row r="104" spans="1:118" x14ac:dyDescent="0.2">
      <c r="A104" s="10"/>
      <c r="B104" s="11" t="s">
        <v>523</v>
      </c>
      <c r="C104" s="12" t="s">
        <v>524</v>
      </c>
      <c r="D104" s="13">
        <v>1318</v>
      </c>
      <c r="E104" s="13">
        <v>28</v>
      </c>
      <c r="F104" s="13">
        <v>119</v>
      </c>
      <c r="G104" s="13">
        <v>7</v>
      </c>
      <c r="H104" s="13">
        <v>156</v>
      </c>
      <c r="I104" s="13">
        <v>765</v>
      </c>
      <c r="J104" s="13">
        <v>1892</v>
      </c>
      <c r="K104" s="13">
        <v>551</v>
      </c>
      <c r="L104" s="13">
        <v>2</v>
      </c>
      <c r="M104" s="13">
        <v>1333</v>
      </c>
      <c r="N104" s="13">
        <v>159</v>
      </c>
      <c r="O104" s="13">
        <v>7</v>
      </c>
      <c r="P104" s="13">
        <v>2276</v>
      </c>
      <c r="Q104" s="13">
        <v>418</v>
      </c>
      <c r="R104" s="13">
        <v>316</v>
      </c>
      <c r="S104" s="13">
        <v>68</v>
      </c>
      <c r="T104" s="13">
        <v>1075</v>
      </c>
      <c r="U104" s="13">
        <v>274</v>
      </c>
      <c r="V104" s="13">
        <v>16</v>
      </c>
      <c r="W104" s="13">
        <v>1507</v>
      </c>
      <c r="X104" s="13">
        <v>736</v>
      </c>
      <c r="Y104" s="13">
        <v>0</v>
      </c>
      <c r="Z104" s="13">
        <v>1531</v>
      </c>
      <c r="AA104" s="13">
        <v>5040</v>
      </c>
      <c r="AB104" s="13">
        <v>533</v>
      </c>
      <c r="AC104" s="13">
        <v>143</v>
      </c>
      <c r="AD104" s="13">
        <v>2193</v>
      </c>
      <c r="AE104" s="13">
        <v>1359</v>
      </c>
      <c r="AF104" s="13">
        <v>1</v>
      </c>
      <c r="AG104" s="13">
        <v>2</v>
      </c>
      <c r="AH104" s="13">
        <v>177</v>
      </c>
      <c r="AI104" s="13">
        <v>790</v>
      </c>
      <c r="AJ104" s="13">
        <v>307</v>
      </c>
      <c r="AK104" s="13">
        <v>886</v>
      </c>
      <c r="AL104" s="13">
        <v>195</v>
      </c>
      <c r="AM104" s="13">
        <v>3587</v>
      </c>
      <c r="AN104" s="13">
        <v>5</v>
      </c>
      <c r="AO104" s="13">
        <v>217</v>
      </c>
      <c r="AP104" s="13">
        <v>7152</v>
      </c>
      <c r="AQ104" s="13">
        <v>1755</v>
      </c>
      <c r="AR104" s="13">
        <v>3204</v>
      </c>
      <c r="AS104" s="13">
        <v>484</v>
      </c>
      <c r="AT104" s="13">
        <v>6005</v>
      </c>
      <c r="AU104" s="13">
        <v>657</v>
      </c>
      <c r="AV104" s="13">
        <v>10050</v>
      </c>
      <c r="AW104" s="13">
        <v>3268</v>
      </c>
      <c r="AX104" s="13">
        <v>13</v>
      </c>
      <c r="AY104" s="13">
        <v>138</v>
      </c>
      <c r="AZ104" s="13">
        <v>3</v>
      </c>
      <c r="BA104" s="13">
        <v>7265</v>
      </c>
      <c r="BB104" s="13">
        <v>671</v>
      </c>
      <c r="BC104" s="13">
        <v>1519</v>
      </c>
      <c r="BD104" s="13">
        <v>94</v>
      </c>
      <c r="BE104" s="13">
        <v>1901</v>
      </c>
      <c r="BF104" s="13">
        <v>2100</v>
      </c>
      <c r="BG104" s="13">
        <v>1171</v>
      </c>
      <c r="BH104" s="13">
        <v>4625</v>
      </c>
      <c r="BI104" s="13">
        <v>1101</v>
      </c>
      <c r="BJ104" s="13">
        <v>22</v>
      </c>
      <c r="BK104" s="13">
        <v>5808</v>
      </c>
      <c r="BL104" s="13">
        <v>1825</v>
      </c>
      <c r="BM104" s="13">
        <v>1523</v>
      </c>
      <c r="BN104" s="13">
        <v>669</v>
      </c>
      <c r="BO104" s="13">
        <v>1378</v>
      </c>
      <c r="BP104" s="13">
        <v>1764</v>
      </c>
      <c r="BQ104" s="13">
        <v>12</v>
      </c>
      <c r="BR104" s="13">
        <v>112</v>
      </c>
      <c r="BS104" s="13">
        <v>6417</v>
      </c>
      <c r="BT104" s="13">
        <v>2828</v>
      </c>
      <c r="BU104" s="13">
        <v>7520</v>
      </c>
      <c r="BV104" s="13">
        <v>516</v>
      </c>
      <c r="BW104" s="13">
        <v>2241</v>
      </c>
      <c r="BX104" s="13">
        <v>531</v>
      </c>
      <c r="BY104" s="13">
        <v>4732</v>
      </c>
      <c r="BZ104" s="13">
        <v>1435</v>
      </c>
      <c r="CA104" s="13">
        <v>1705</v>
      </c>
      <c r="CB104" s="13">
        <v>419</v>
      </c>
      <c r="CC104" s="13">
        <v>1272</v>
      </c>
      <c r="CD104" s="13">
        <v>1723</v>
      </c>
      <c r="CE104" s="13">
        <v>620</v>
      </c>
      <c r="CF104" s="13">
        <v>90</v>
      </c>
      <c r="CG104" s="13">
        <v>157</v>
      </c>
      <c r="CH104" s="13">
        <v>8</v>
      </c>
      <c r="CI104" s="13">
        <v>143</v>
      </c>
      <c r="CJ104" s="13">
        <v>211</v>
      </c>
      <c r="CK104" s="13">
        <v>3875</v>
      </c>
      <c r="CL104" s="13">
        <v>341</v>
      </c>
      <c r="CM104" s="13">
        <v>2145</v>
      </c>
      <c r="CN104" s="13">
        <v>1386</v>
      </c>
      <c r="CO104" s="13">
        <v>542</v>
      </c>
      <c r="CP104" s="13">
        <v>260</v>
      </c>
      <c r="CQ104" s="13">
        <v>4272</v>
      </c>
      <c r="CR104" s="13">
        <v>632</v>
      </c>
      <c r="CS104" s="13">
        <v>2024</v>
      </c>
      <c r="CT104" s="13">
        <v>840</v>
      </c>
      <c r="CU104" s="13">
        <v>3373</v>
      </c>
      <c r="CV104" s="14">
        <v>148536</v>
      </c>
      <c r="CW104" s="13">
        <v>72</v>
      </c>
      <c r="CX104" s="13">
        <v>5</v>
      </c>
      <c r="CY104" s="13">
        <v>86</v>
      </c>
      <c r="CZ104" s="13">
        <v>34</v>
      </c>
      <c r="DA104" s="13">
        <v>0</v>
      </c>
      <c r="DB104" s="14">
        <v>197</v>
      </c>
      <c r="DC104" s="14">
        <v>148733</v>
      </c>
      <c r="DD104" s="13">
        <v>0</v>
      </c>
      <c r="DE104" s="13">
        <v>0</v>
      </c>
      <c r="DF104" s="13">
        <v>37</v>
      </c>
      <c r="DG104" s="13">
        <v>0</v>
      </c>
      <c r="DH104" s="13">
        <v>0</v>
      </c>
      <c r="DI104" s="13">
        <v>144</v>
      </c>
      <c r="DJ104" s="14">
        <v>181</v>
      </c>
      <c r="DK104" s="13">
        <v>0</v>
      </c>
      <c r="DL104" s="13">
        <v>99</v>
      </c>
      <c r="DM104" s="13">
        <v>0</v>
      </c>
      <c r="DN104" s="14">
        <v>149013</v>
      </c>
    </row>
    <row r="105" spans="1:118" x14ac:dyDescent="0.2">
      <c r="A105" s="10"/>
      <c r="B105" s="11" t="s">
        <v>525</v>
      </c>
      <c r="C105" s="12" t="s">
        <v>526</v>
      </c>
      <c r="D105" s="13">
        <v>1179</v>
      </c>
      <c r="E105" s="13">
        <v>368</v>
      </c>
      <c r="F105" s="13">
        <v>775</v>
      </c>
      <c r="G105" s="13">
        <v>228</v>
      </c>
      <c r="H105" s="13">
        <v>1254</v>
      </c>
      <c r="I105" s="13">
        <v>760</v>
      </c>
      <c r="J105" s="13">
        <v>346</v>
      </c>
      <c r="K105" s="13">
        <v>152</v>
      </c>
      <c r="L105" s="13">
        <v>283</v>
      </c>
      <c r="M105" s="13">
        <v>297</v>
      </c>
      <c r="N105" s="13">
        <v>2509</v>
      </c>
      <c r="O105" s="13">
        <v>1423</v>
      </c>
      <c r="P105" s="13">
        <v>5563</v>
      </c>
      <c r="Q105" s="13">
        <v>431</v>
      </c>
      <c r="R105" s="13">
        <v>118</v>
      </c>
      <c r="S105" s="13">
        <v>1347</v>
      </c>
      <c r="T105" s="13">
        <v>1477</v>
      </c>
      <c r="U105" s="13">
        <v>1753</v>
      </c>
      <c r="V105" s="13">
        <v>803</v>
      </c>
      <c r="W105" s="13">
        <v>871</v>
      </c>
      <c r="X105" s="13">
        <v>109</v>
      </c>
      <c r="Y105" s="13">
        <v>82</v>
      </c>
      <c r="Z105" s="13">
        <v>509</v>
      </c>
      <c r="AA105" s="13">
        <v>629</v>
      </c>
      <c r="AB105" s="13">
        <v>281</v>
      </c>
      <c r="AC105" s="13">
        <v>1550</v>
      </c>
      <c r="AD105" s="13">
        <v>470</v>
      </c>
      <c r="AE105" s="13">
        <v>3168</v>
      </c>
      <c r="AF105" s="13">
        <v>807</v>
      </c>
      <c r="AG105" s="13">
        <v>2128</v>
      </c>
      <c r="AH105" s="13">
        <v>2857</v>
      </c>
      <c r="AI105" s="13">
        <v>2062</v>
      </c>
      <c r="AJ105" s="13">
        <v>278</v>
      </c>
      <c r="AK105" s="13">
        <v>3661</v>
      </c>
      <c r="AL105" s="13">
        <v>531</v>
      </c>
      <c r="AM105" s="13">
        <v>4483</v>
      </c>
      <c r="AN105" s="13">
        <v>845</v>
      </c>
      <c r="AO105" s="13">
        <v>870</v>
      </c>
      <c r="AP105" s="13">
        <v>2222</v>
      </c>
      <c r="AQ105" s="13">
        <v>83</v>
      </c>
      <c r="AR105" s="13">
        <v>2752</v>
      </c>
      <c r="AS105" s="13">
        <v>252</v>
      </c>
      <c r="AT105" s="13">
        <v>854</v>
      </c>
      <c r="AU105" s="13">
        <v>34</v>
      </c>
      <c r="AV105" s="13">
        <v>998</v>
      </c>
      <c r="AW105" s="13">
        <v>1719</v>
      </c>
      <c r="AX105" s="13">
        <v>407</v>
      </c>
      <c r="AY105" s="13">
        <v>522</v>
      </c>
      <c r="AZ105" s="13">
        <v>8</v>
      </c>
      <c r="BA105" s="13">
        <v>1873</v>
      </c>
      <c r="BB105" s="13">
        <v>2168</v>
      </c>
      <c r="BC105" s="13">
        <v>1643</v>
      </c>
      <c r="BD105" s="13">
        <v>884</v>
      </c>
      <c r="BE105" s="13">
        <v>165</v>
      </c>
      <c r="BF105" s="13">
        <v>1021</v>
      </c>
      <c r="BG105" s="13">
        <v>532</v>
      </c>
      <c r="BH105" s="13">
        <v>3322</v>
      </c>
      <c r="BI105" s="13">
        <v>2600</v>
      </c>
      <c r="BJ105" s="13">
        <v>275</v>
      </c>
      <c r="BK105" s="13">
        <v>1035</v>
      </c>
      <c r="BL105" s="13">
        <v>616</v>
      </c>
      <c r="BM105" s="13">
        <v>144</v>
      </c>
      <c r="BN105" s="13">
        <v>471</v>
      </c>
      <c r="BO105" s="13">
        <v>1549</v>
      </c>
      <c r="BP105" s="13">
        <v>1878</v>
      </c>
      <c r="BQ105" s="13">
        <v>1295</v>
      </c>
      <c r="BR105" s="13">
        <v>542</v>
      </c>
      <c r="BS105" s="13">
        <v>2085</v>
      </c>
      <c r="BT105" s="13">
        <v>552</v>
      </c>
      <c r="BU105" s="13">
        <v>2293</v>
      </c>
      <c r="BV105" s="13">
        <v>346</v>
      </c>
      <c r="BW105" s="13">
        <v>1264</v>
      </c>
      <c r="BX105" s="13">
        <v>1252</v>
      </c>
      <c r="BY105" s="13">
        <v>715</v>
      </c>
      <c r="BZ105" s="13">
        <v>1196</v>
      </c>
      <c r="CA105" s="13">
        <v>4588</v>
      </c>
      <c r="CB105" s="13">
        <v>583</v>
      </c>
      <c r="CC105" s="13">
        <v>1920</v>
      </c>
      <c r="CD105" s="13">
        <v>4197</v>
      </c>
      <c r="CE105" s="13">
        <v>894</v>
      </c>
      <c r="CF105" s="13">
        <v>208</v>
      </c>
      <c r="CG105" s="13">
        <v>524</v>
      </c>
      <c r="CH105" s="13">
        <v>960</v>
      </c>
      <c r="CI105" s="13">
        <v>7833</v>
      </c>
      <c r="CJ105" s="13">
        <v>1812</v>
      </c>
      <c r="CK105" s="13">
        <v>282</v>
      </c>
      <c r="CL105" s="13">
        <v>2879</v>
      </c>
      <c r="CM105" s="13">
        <v>296</v>
      </c>
      <c r="CN105" s="13">
        <v>441</v>
      </c>
      <c r="CO105" s="13">
        <v>165</v>
      </c>
      <c r="CP105" s="13">
        <v>252</v>
      </c>
      <c r="CQ105" s="13">
        <v>2062</v>
      </c>
      <c r="CR105" s="13">
        <v>2450</v>
      </c>
      <c r="CS105" s="13">
        <v>1130</v>
      </c>
      <c r="CT105" s="13">
        <v>2753</v>
      </c>
      <c r="CU105" s="13">
        <v>246</v>
      </c>
      <c r="CV105" s="14">
        <v>125299</v>
      </c>
      <c r="CW105" s="13">
        <v>920</v>
      </c>
      <c r="CX105" s="13">
        <v>1983</v>
      </c>
      <c r="CY105" s="13">
        <v>2984</v>
      </c>
      <c r="CZ105" s="13">
        <v>2734</v>
      </c>
      <c r="DA105" s="13">
        <v>841</v>
      </c>
      <c r="DB105" s="14">
        <v>9462</v>
      </c>
      <c r="DC105" s="14">
        <v>134761</v>
      </c>
      <c r="DD105" s="13">
        <v>34</v>
      </c>
      <c r="DE105" s="13">
        <v>0</v>
      </c>
      <c r="DF105" s="13">
        <v>147</v>
      </c>
      <c r="DG105" s="13">
        <v>0</v>
      </c>
      <c r="DH105" s="13">
        <v>1468</v>
      </c>
      <c r="DI105" s="13">
        <v>1787</v>
      </c>
      <c r="DJ105" s="14">
        <v>3436</v>
      </c>
      <c r="DK105" s="13">
        <v>3</v>
      </c>
      <c r="DL105" s="13">
        <v>5125</v>
      </c>
      <c r="DM105" s="13">
        <v>0</v>
      </c>
      <c r="DN105" s="14">
        <v>143325</v>
      </c>
    </row>
    <row r="106" spans="1:118" x14ac:dyDescent="0.2">
      <c r="A106" s="10"/>
      <c r="B106" s="11" t="s">
        <v>527</v>
      </c>
      <c r="C106" s="12" t="s">
        <v>528</v>
      </c>
      <c r="D106" s="13">
        <v>597</v>
      </c>
      <c r="E106" s="13">
        <v>501</v>
      </c>
      <c r="F106" s="13">
        <v>858</v>
      </c>
      <c r="G106" s="13">
        <v>1547</v>
      </c>
      <c r="H106" s="13">
        <v>1508</v>
      </c>
      <c r="I106" s="13">
        <v>3156</v>
      </c>
      <c r="J106" s="13">
        <v>122</v>
      </c>
      <c r="K106" s="13">
        <v>439</v>
      </c>
      <c r="L106" s="13">
        <v>250</v>
      </c>
      <c r="M106" s="13">
        <v>1116</v>
      </c>
      <c r="N106" s="13">
        <v>1585</v>
      </c>
      <c r="O106" s="13">
        <v>377</v>
      </c>
      <c r="P106" s="13">
        <v>7056</v>
      </c>
      <c r="Q106" s="13">
        <v>1589</v>
      </c>
      <c r="R106" s="13">
        <v>711</v>
      </c>
      <c r="S106" s="13">
        <v>211</v>
      </c>
      <c r="T106" s="13">
        <v>1553</v>
      </c>
      <c r="U106" s="13">
        <v>362</v>
      </c>
      <c r="V106" s="13">
        <v>263</v>
      </c>
      <c r="W106" s="13">
        <v>2158</v>
      </c>
      <c r="X106" s="13">
        <v>1960</v>
      </c>
      <c r="Y106" s="13">
        <v>169</v>
      </c>
      <c r="Z106" s="13">
        <v>833</v>
      </c>
      <c r="AA106" s="13">
        <v>1833</v>
      </c>
      <c r="AB106" s="13">
        <v>1033</v>
      </c>
      <c r="AC106" s="13">
        <v>718</v>
      </c>
      <c r="AD106" s="13">
        <v>978</v>
      </c>
      <c r="AE106" s="13">
        <v>3775</v>
      </c>
      <c r="AF106" s="13">
        <v>634</v>
      </c>
      <c r="AG106" s="13">
        <v>41</v>
      </c>
      <c r="AH106" s="13">
        <v>791</v>
      </c>
      <c r="AI106" s="13">
        <v>4753</v>
      </c>
      <c r="AJ106" s="13">
        <v>173</v>
      </c>
      <c r="AK106" s="13">
        <v>1028</v>
      </c>
      <c r="AL106" s="13">
        <v>5250</v>
      </c>
      <c r="AM106" s="13">
        <v>1697</v>
      </c>
      <c r="AN106" s="13">
        <v>1041</v>
      </c>
      <c r="AO106" s="13">
        <v>402</v>
      </c>
      <c r="AP106" s="13">
        <v>2683</v>
      </c>
      <c r="AQ106" s="13">
        <v>252</v>
      </c>
      <c r="AR106" s="13">
        <v>1780</v>
      </c>
      <c r="AS106" s="13">
        <v>409</v>
      </c>
      <c r="AT106" s="13">
        <v>1766</v>
      </c>
      <c r="AU106" s="13">
        <v>89</v>
      </c>
      <c r="AV106" s="13">
        <v>4292</v>
      </c>
      <c r="AW106" s="13">
        <v>2365</v>
      </c>
      <c r="AX106" s="13">
        <v>292</v>
      </c>
      <c r="AY106" s="13">
        <v>1349</v>
      </c>
      <c r="AZ106" s="13">
        <v>107</v>
      </c>
      <c r="BA106" s="13">
        <v>2232</v>
      </c>
      <c r="BB106" s="13">
        <v>645</v>
      </c>
      <c r="BC106" s="13">
        <v>2451</v>
      </c>
      <c r="BD106" s="13">
        <v>926</v>
      </c>
      <c r="BE106" s="13">
        <v>717</v>
      </c>
      <c r="BF106" s="13">
        <v>2195</v>
      </c>
      <c r="BG106" s="13">
        <v>1422</v>
      </c>
      <c r="BH106" s="13">
        <v>1460</v>
      </c>
      <c r="BI106" s="13">
        <v>2585</v>
      </c>
      <c r="BJ106" s="13">
        <v>526</v>
      </c>
      <c r="BK106" s="13">
        <v>2180</v>
      </c>
      <c r="BL106" s="13">
        <v>399</v>
      </c>
      <c r="BM106" s="13">
        <v>918</v>
      </c>
      <c r="BN106" s="13">
        <v>709</v>
      </c>
      <c r="BO106" s="13">
        <v>1671</v>
      </c>
      <c r="BP106" s="13">
        <v>2460</v>
      </c>
      <c r="BQ106" s="13">
        <v>66</v>
      </c>
      <c r="BR106" s="13">
        <v>1144</v>
      </c>
      <c r="BS106" s="13">
        <v>4454</v>
      </c>
      <c r="BT106" s="13">
        <v>2407</v>
      </c>
      <c r="BU106" s="13">
        <v>1699</v>
      </c>
      <c r="BV106" s="13">
        <v>506</v>
      </c>
      <c r="BW106" s="13">
        <v>134</v>
      </c>
      <c r="BX106" s="13">
        <v>617</v>
      </c>
      <c r="BY106" s="13">
        <v>294</v>
      </c>
      <c r="BZ106" s="13">
        <v>1091</v>
      </c>
      <c r="CA106" s="13">
        <v>771</v>
      </c>
      <c r="CB106" s="13">
        <v>3502</v>
      </c>
      <c r="CC106" s="13">
        <v>467</v>
      </c>
      <c r="CD106" s="13">
        <v>493</v>
      </c>
      <c r="CE106" s="13">
        <v>536</v>
      </c>
      <c r="CF106" s="13">
        <v>1268</v>
      </c>
      <c r="CG106" s="13">
        <v>1686</v>
      </c>
      <c r="CH106" s="13">
        <v>324</v>
      </c>
      <c r="CI106" s="13">
        <v>5022</v>
      </c>
      <c r="CJ106" s="13">
        <v>447</v>
      </c>
      <c r="CK106" s="13">
        <v>808</v>
      </c>
      <c r="CL106" s="13">
        <v>2607</v>
      </c>
      <c r="CM106" s="13">
        <v>2347</v>
      </c>
      <c r="CN106" s="13">
        <v>413</v>
      </c>
      <c r="CO106" s="13">
        <v>561</v>
      </c>
      <c r="CP106" s="13">
        <v>288</v>
      </c>
      <c r="CQ106" s="13">
        <v>348</v>
      </c>
      <c r="CR106" s="13">
        <v>583</v>
      </c>
      <c r="CS106" s="13">
        <v>456</v>
      </c>
      <c r="CT106" s="13">
        <v>264</v>
      </c>
      <c r="CU106" s="13">
        <v>539</v>
      </c>
      <c r="CV106" s="14">
        <v>128090</v>
      </c>
      <c r="CW106" s="13">
        <v>172</v>
      </c>
      <c r="CX106" s="13">
        <v>433</v>
      </c>
      <c r="CY106" s="13">
        <v>310</v>
      </c>
      <c r="CZ106" s="13">
        <v>1285</v>
      </c>
      <c r="DA106" s="13">
        <v>2</v>
      </c>
      <c r="DB106" s="14">
        <v>2202</v>
      </c>
      <c r="DC106" s="14">
        <v>130292</v>
      </c>
      <c r="DD106" s="13">
        <v>0</v>
      </c>
      <c r="DE106" s="13">
        <v>48</v>
      </c>
      <c r="DF106" s="13">
        <v>0</v>
      </c>
      <c r="DG106" s="13">
        <v>0</v>
      </c>
      <c r="DH106" s="13">
        <v>1</v>
      </c>
      <c r="DI106" s="13">
        <v>16</v>
      </c>
      <c r="DJ106" s="14">
        <v>65</v>
      </c>
      <c r="DK106" s="13">
        <v>2</v>
      </c>
      <c r="DL106" s="13">
        <v>404</v>
      </c>
      <c r="DM106" s="13">
        <v>0</v>
      </c>
      <c r="DN106" s="14">
        <v>130763</v>
      </c>
    </row>
    <row r="107" spans="1:118" x14ac:dyDescent="0.2">
      <c r="A107" s="10"/>
      <c r="B107" s="11" t="s">
        <v>529</v>
      </c>
      <c r="C107" s="12" t="s">
        <v>530</v>
      </c>
      <c r="D107" s="13">
        <v>2705</v>
      </c>
      <c r="E107" s="13">
        <v>128</v>
      </c>
      <c r="F107" s="13">
        <v>2816</v>
      </c>
      <c r="G107" s="13">
        <v>282</v>
      </c>
      <c r="H107" s="13">
        <v>890</v>
      </c>
      <c r="I107" s="13">
        <v>1288</v>
      </c>
      <c r="J107" s="13">
        <v>10</v>
      </c>
      <c r="K107" s="13">
        <v>0</v>
      </c>
      <c r="L107" s="13">
        <v>2</v>
      </c>
      <c r="M107" s="13">
        <v>0</v>
      </c>
      <c r="N107" s="13">
        <v>218</v>
      </c>
      <c r="O107" s="13">
        <v>1628</v>
      </c>
      <c r="P107" s="13">
        <v>3809</v>
      </c>
      <c r="Q107" s="13">
        <v>159</v>
      </c>
      <c r="R107" s="13">
        <v>2074</v>
      </c>
      <c r="S107" s="13">
        <v>1</v>
      </c>
      <c r="T107" s="13">
        <v>1265</v>
      </c>
      <c r="U107" s="13">
        <v>25</v>
      </c>
      <c r="V107" s="13">
        <v>100</v>
      </c>
      <c r="W107" s="13">
        <v>75</v>
      </c>
      <c r="X107" s="13">
        <v>6</v>
      </c>
      <c r="Y107" s="13">
        <v>116</v>
      </c>
      <c r="Z107" s="13">
        <v>1</v>
      </c>
      <c r="AA107" s="13">
        <v>1500</v>
      </c>
      <c r="AB107" s="13">
        <v>347</v>
      </c>
      <c r="AC107" s="13">
        <v>212</v>
      </c>
      <c r="AD107" s="13">
        <v>9</v>
      </c>
      <c r="AE107" s="13">
        <v>358</v>
      </c>
      <c r="AF107" s="13">
        <v>0</v>
      </c>
      <c r="AG107" s="13">
        <v>1</v>
      </c>
      <c r="AH107" s="13">
        <v>2850</v>
      </c>
      <c r="AI107" s="13">
        <v>1695</v>
      </c>
      <c r="AJ107" s="13">
        <v>1241</v>
      </c>
      <c r="AK107" s="13">
        <v>2208</v>
      </c>
      <c r="AL107" s="13">
        <v>3009</v>
      </c>
      <c r="AM107" s="13">
        <v>2467</v>
      </c>
      <c r="AN107" s="13">
        <v>54</v>
      </c>
      <c r="AO107" s="13">
        <v>97</v>
      </c>
      <c r="AP107" s="13">
        <v>2632</v>
      </c>
      <c r="AQ107" s="13">
        <v>2205</v>
      </c>
      <c r="AR107" s="13">
        <v>197</v>
      </c>
      <c r="AS107" s="13">
        <v>46</v>
      </c>
      <c r="AT107" s="13">
        <v>1371</v>
      </c>
      <c r="AU107" s="13">
        <v>19</v>
      </c>
      <c r="AV107" s="13">
        <v>2178</v>
      </c>
      <c r="AW107" s="13">
        <v>89</v>
      </c>
      <c r="AX107" s="13">
        <v>22</v>
      </c>
      <c r="AY107" s="13">
        <v>228</v>
      </c>
      <c r="AZ107" s="13">
        <v>440</v>
      </c>
      <c r="BA107" s="13">
        <v>577</v>
      </c>
      <c r="BB107" s="13">
        <v>6</v>
      </c>
      <c r="BC107" s="13">
        <v>0</v>
      </c>
      <c r="BD107" s="13">
        <v>0</v>
      </c>
      <c r="BE107" s="13">
        <v>4006</v>
      </c>
      <c r="BF107" s="13">
        <v>0</v>
      </c>
      <c r="BG107" s="13">
        <v>0</v>
      </c>
      <c r="BH107" s="13">
        <v>18</v>
      </c>
      <c r="BI107" s="13">
        <v>2</v>
      </c>
      <c r="BJ107" s="13">
        <v>1</v>
      </c>
      <c r="BK107" s="13">
        <v>709</v>
      </c>
      <c r="BL107" s="13">
        <v>1915</v>
      </c>
      <c r="BM107" s="13">
        <v>384</v>
      </c>
      <c r="BN107" s="13">
        <v>395</v>
      </c>
      <c r="BO107" s="13">
        <v>902</v>
      </c>
      <c r="BP107" s="13">
        <v>1264</v>
      </c>
      <c r="BQ107" s="13">
        <v>58</v>
      </c>
      <c r="BR107" s="13">
        <v>491</v>
      </c>
      <c r="BS107" s="13">
        <v>21</v>
      </c>
      <c r="BT107" s="13">
        <v>4</v>
      </c>
      <c r="BU107" s="13">
        <v>177</v>
      </c>
      <c r="BV107" s="13">
        <v>96</v>
      </c>
      <c r="BW107" s="13">
        <v>4983</v>
      </c>
      <c r="BX107" s="13">
        <v>2480</v>
      </c>
      <c r="BY107" s="13">
        <v>2239</v>
      </c>
      <c r="BZ107" s="13">
        <v>29</v>
      </c>
      <c r="CA107" s="13">
        <v>946</v>
      </c>
      <c r="CB107" s="13">
        <v>502</v>
      </c>
      <c r="CC107" s="13">
        <v>1983</v>
      </c>
      <c r="CD107" s="13">
        <v>427</v>
      </c>
      <c r="CE107" s="13">
        <v>35</v>
      </c>
      <c r="CF107" s="13">
        <v>411</v>
      </c>
      <c r="CG107" s="13">
        <v>23</v>
      </c>
      <c r="CH107" s="13">
        <v>839</v>
      </c>
      <c r="CI107" s="13">
        <v>3540</v>
      </c>
      <c r="CJ107" s="13">
        <v>297</v>
      </c>
      <c r="CK107" s="13">
        <v>6068</v>
      </c>
      <c r="CL107" s="13">
        <v>25</v>
      </c>
      <c r="CM107" s="13">
        <v>1891</v>
      </c>
      <c r="CN107" s="13">
        <v>4</v>
      </c>
      <c r="CO107" s="13">
        <v>20</v>
      </c>
      <c r="CP107" s="13">
        <v>1</v>
      </c>
      <c r="CQ107" s="13">
        <v>1872</v>
      </c>
      <c r="CR107" s="13">
        <v>665</v>
      </c>
      <c r="CS107" s="13">
        <v>165</v>
      </c>
      <c r="CT107" s="13">
        <v>1312</v>
      </c>
      <c r="CU107" s="13">
        <v>2443</v>
      </c>
      <c r="CV107" s="14">
        <v>87299</v>
      </c>
      <c r="CW107" s="13">
        <v>0</v>
      </c>
      <c r="CX107" s="13">
        <v>1</v>
      </c>
      <c r="CY107" s="13">
        <v>0</v>
      </c>
      <c r="CZ107" s="13">
        <v>0</v>
      </c>
      <c r="DA107" s="13">
        <v>0</v>
      </c>
      <c r="DB107" s="14">
        <v>1</v>
      </c>
      <c r="DC107" s="14">
        <v>87300</v>
      </c>
      <c r="DD107" s="13">
        <v>0</v>
      </c>
      <c r="DE107" s="13">
        <v>0</v>
      </c>
      <c r="DF107" s="13">
        <v>0</v>
      </c>
      <c r="DG107" s="13">
        <v>0</v>
      </c>
      <c r="DH107" s="13">
        <v>0</v>
      </c>
      <c r="DI107" s="13">
        <v>0</v>
      </c>
      <c r="DJ107" s="14">
        <v>0</v>
      </c>
      <c r="DK107" s="13">
        <v>13</v>
      </c>
      <c r="DL107" s="13">
        <v>6</v>
      </c>
      <c r="DM107" s="13">
        <v>0</v>
      </c>
      <c r="DN107" s="14">
        <v>87319</v>
      </c>
    </row>
    <row r="108" spans="1:118" x14ac:dyDescent="0.2">
      <c r="A108" s="10"/>
      <c r="B108" s="11" t="s">
        <v>531</v>
      </c>
      <c r="C108" s="12" t="s">
        <v>532</v>
      </c>
      <c r="D108" s="13">
        <v>287</v>
      </c>
      <c r="E108" s="13">
        <v>889</v>
      </c>
      <c r="F108" s="13">
        <v>2015</v>
      </c>
      <c r="G108" s="13">
        <v>19</v>
      </c>
      <c r="H108" s="13">
        <v>520</v>
      </c>
      <c r="I108" s="13">
        <v>58</v>
      </c>
      <c r="J108" s="13">
        <v>889</v>
      </c>
      <c r="K108" s="13">
        <v>602</v>
      </c>
      <c r="L108" s="13">
        <v>69</v>
      </c>
      <c r="M108" s="13">
        <v>33</v>
      </c>
      <c r="N108" s="13">
        <v>42</v>
      </c>
      <c r="O108" s="13">
        <v>282</v>
      </c>
      <c r="P108" s="13">
        <v>6577</v>
      </c>
      <c r="Q108" s="13">
        <v>1044</v>
      </c>
      <c r="R108" s="13">
        <v>191</v>
      </c>
      <c r="S108" s="13">
        <v>405</v>
      </c>
      <c r="T108" s="13">
        <v>411</v>
      </c>
      <c r="U108" s="13">
        <v>184</v>
      </c>
      <c r="V108" s="13">
        <v>310</v>
      </c>
      <c r="W108" s="13">
        <v>530</v>
      </c>
      <c r="X108" s="13">
        <v>1253</v>
      </c>
      <c r="Y108" s="13">
        <v>30</v>
      </c>
      <c r="Z108" s="13">
        <v>727</v>
      </c>
      <c r="AA108" s="13">
        <v>87</v>
      </c>
      <c r="AB108" s="13">
        <v>1577</v>
      </c>
      <c r="AC108" s="13">
        <v>1088</v>
      </c>
      <c r="AD108" s="13">
        <v>61</v>
      </c>
      <c r="AE108" s="13">
        <v>3663</v>
      </c>
      <c r="AF108" s="13">
        <v>5</v>
      </c>
      <c r="AG108" s="13">
        <v>0</v>
      </c>
      <c r="AH108" s="13">
        <v>499</v>
      </c>
      <c r="AI108" s="13">
        <v>1611</v>
      </c>
      <c r="AJ108" s="13">
        <v>260</v>
      </c>
      <c r="AK108" s="13">
        <v>728</v>
      </c>
      <c r="AL108" s="13">
        <v>1613</v>
      </c>
      <c r="AM108" s="13">
        <v>960</v>
      </c>
      <c r="AN108" s="13">
        <v>204</v>
      </c>
      <c r="AO108" s="13">
        <v>37</v>
      </c>
      <c r="AP108" s="13">
        <v>930</v>
      </c>
      <c r="AQ108" s="13">
        <v>7</v>
      </c>
      <c r="AR108" s="13">
        <v>719</v>
      </c>
      <c r="AS108" s="13">
        <v>0</v>
      </c>
      <c r="AT108" s="13">
        <v>232</v>
      </c>
      <c r="AU108" s="13">
        <v>84</v>
      </c>
      <c r="AV108" s="13">
        <v>1596</v>
      </c>
      <c r="AW108" s="13">
        <v>37</v>
      </c>
      <c r="AX108" s="13">
        <v>122</v>
      </c>
      <c r="AY108" s="13">
        <v>226</v>
      </c>
      <c r="AZ108" s="13">
        <v>582</v>
      </c>
      <c r="BA108" s="13">
        <v>368</v>
      </c>
      <c r="BB108" s="13">
        <v>92</v>
      </c>
      <c r="BC108" s="13">
        <v>310</v>
      </c>
      <c r="BD108" s="13">
        <v>44</v>
      </c>
      <c r="BE108" s="13">
        <v>118</v>
      </c>
      <c r="BF108" s="13">
        <v>51</v>
      </c>
      <c r="BG108" s="13">
        <v>7</v>
      </c>
      <c r="BH108" s="13">
        <v>1254</v>
      </c>
      <c r="BI108" s="13">
        <v>1288</v>
      </c>
      <c r="BJ108" s="13">
        <v>10</v>
      </c>
      <c r="BK108" s="13">
        <v>1632</v>
      </c>
      <c r="BL108" s="13">
        <v>1488</v>
      </c>
      <c r="BM108" s="13">
        <v>84</v>
      </c>
      <c r="BN108" s="13">
        <v>2108</v>
      </c>
      <c r="BO108" s="13">
        <v>52</v>
      </c>
      <c r="BP108" s="13">
        <v>84</v>
      </c>
      <c r="BQ108" s="13">
        <v>84</v>
      </c>
      <c r="BR108" s="13">
        <v>1744</v>
      </c>
      <c r="BS108" s="13">
        <v>64</v>
      </c>
      <c r="BT108" s="13">
        <v>57</v>
      </c>
      <c r="BU108" s="13">
        <v>168</v>
      </c>
      <c r="BV108" s="13">
        <v>3</v>
      </c>
      <c r="BW108" s="13">
        <v>134</v>
      </c>
      <c r="BX108" s="13">
        <v>355</v>
      </c>
      <c r="BY108" s="13">
        <v>424</v>
      </c>
      <c r="BZ108" s="13">
        <v>8</v>
      </c>
      <c r="CA108" s="13">
        <v>39</v>
      </c>
      <c r="CB108" s="13">
        <v>9934</v>
      </c>
      <c r="CC108" s="13">
        <v>1348</v>
      </c>
      <c r="CD108" s="13">
        <v>3170</v>
      </c>
      <c r="CE108" s="13">
        <v>708</v>
      </c>
      <c r="CF108" s="13">
        <v>838</v>
      </c>
      <c r="CG108" s="13">
        <v>51</v>
      </c>
      <c r="CH108" s="13">
        <v>88</v>
      </c>
      <c r="CI108" s="13">
        <v>270</v>
      </c>
      <c r="CJ108" s="13">
        <v>1549</v>
      </c>
      <c r="CK108" s="13">
        <v>2497</v>
      </c>
      <c r="CL108" s="13">
        <v>66</v>
      </c>
      <c r="CM108" s="13">
        <v>117</v>
      </c>
      <c r="CN108" s="13">
        <v>0</v>
      </c>
      <c r="CO108" s="13">
        <v>396</v>
      </c>
      <c r="CP108" s="13">
        <v>1</v>
      </c>
      <c r="CQ108" s="13">
        <v>911</v>
      </c>
      <c r="CR108" s="13">
        <v>33</v>
      </c>
      <c r="CS108" s="13">
        <v>23</v>
      </c>
      <c r="CT108" s="13">
        <v>22</v>
      </c>
      <c r="CU108" s="13">
        <v>116</v>
      </c>
      <c r="CV108" s="14">
        <v>68503</v>
      </c>
      <c r="CW108" s="13">
        <v>6</v>
      </c>
      <c r="CX108" s="13">
        <v>87</v>
      </c>
      <c r="CY108" s="13">
        <v>2</v>
      </c>
      <c r="CZ108" s="13">
        <v>304</v>
      </c>
      <c r="DA108" s="13">
        <v>0</v>
      </c>
      <c r="DB108" s="14">
        <v>399</v>
      </c>
      <c r="DC108" s="14">
        <v>68902</v>
      </c>
      <c r="DD108" s="13">
        <v>0</v>
      </c>
      <c r="DE108" s="13">
        <v>0</v>
      </c>
      <c r="DF108" s="13">
        <v>0</v>
      </c>
      <c r="DG108" s="13">
        <v>0</v>
      </c>
      <c r="DH108" s="13">
        <v>0</v>
      </c>
      <c r="DI108" s="13">
        <v>0</v>
      </c>
      <c r="DJ108" s="14">
        <v>0</v>
      </c>
      <c r="DK108" s="13">
        <v>0</v>
      </c>
      <c r="DL108" s="13">
        <v>0</v>
      </c>
      <c r="DM108" s="13">
        <v>0</v>
      </c>
      <c r="DN108" s="14">
        <v>68902</v>
      </c>
    </row>
    <row r="109" spans="1:118" x14ac:dyDescent="0.2">
      <c r="A109" s="10"/>
      <c r="B109" s="11" t="s">
        <v>533</v>
      </c>
      <c r="C109" s="12" t="s">
        <v>534</v>
      </c>
      <c r="D109" s="13">
        <v>19</v>
      </c>
      <c r="E109" s="13">
        <v>31</v>
      </c>
      <c r="F109" s="13">
        <v>2</v>
      </c>
      <c r="G109" s="13">
        <v>3</v>
      </c>
      <c r="H109" s="13">
        <v>3</v>
      </c>
      <c r="I109" s="13">
        <v>53</v>
      </c>
      <c r="J109" s="13">
        <v>5</v>
      </c>
      <c r="K109" s="13">
        <v>1</v>
      </c>
      <c r="L109" s="13">
        <v>72</v>
      </c>
      <c r="M109" s="13">
        <v>3</v>
      </c>
      <c r="N109" s="13">
        <v>943</v>
      </c>
      <c r="O109" s="13">
        <v>149</v>
      </c>
      <c r="P109" s="13">
        <v>2435</v>
      </c>
      <c r="Q109" s="13">
        <v>1109</v>
      </c>
      <c r="R109" s="13">
        <v>31</v>
      </c>
      <c r="S109" s="13">
        <v>0</v>
      </c>
      <c r="T109" s="13">
        <v>2</v>
      </c>
      <c r="U109" s="13">
        <v>3</v>
      </c>
      <c r="V109" s="13">
        <v>11</v>
      </c>
      <c r="W109" s="13">
        <v>0</v>
      </c>
      <c r="X109" s="13">
        <v>4</v>
      </c>
      <c r="Y109" s="13">
        <v>1</v>
      </c>
      <c r="Z109" s="13">
        <v>4</v>
      </c>
      <c r="AA109" s="13">
        <v>0</v>
      </c>
      <c r="AB109" s="13">
        <v>78</v>
      </c>
      <c r="AC109" s="13">
        <v>2</v>
      </c>
      <c r="AD109" s="13">
        <v>2</v>
      </c>
      <c r="AE109" s="13">
        <v>495</v>
      </c>
      <c r="AF109" s="13">
        <v>0</v>
      </c>
      <c r="AG109" s="13">
        <v>0</v>
      </c>
      <c r="AH109" s="13">
        <v>145</v>
      </c>
      <c r="AI109" s="13">
        <v>2294</v>
      </c>
      <c r="AJ109" s="13">
        <v>19</v>
      </c>
      <c r="AK109" s="13">
        <v>643</v>
      </c>
      <c r="AL109" s="13">
        <v>538</v>
      </c>
      <c r="AM109" s="13">
        <v>132</v>
      </c>
      <c r="AN109" s="13">
        <v>0</v>
      </c>
      <c r="AO109" s="13">
        <v>3</v>
      </c>
      <c r="AP109" s="13">
        <v>1385</v>
      </c>
      <c r="AQ109" s="13">
        <v>19</v>
      </c>
      <c r="AR109" s="13">
        <v>275</v>
      </c>
      <c r="AS109" s="13">
        <v>372</v>
      </c>
      <c r="AT109" s="13">
        <v>47</v>
      </c>
      <c r="AU109" s="13">
        <v>125</v>
      </c>
      <c r="AV109" s="13">
        <v>472</v>
      </c>
      <c r="AW109" s="13">
        <v>68</v>
      </c>
      <c r="AX109" s="13">
        <v>1388</v>
      </c>
      <c r="AY109" s="13">
        <v>344</v>
      </c>
      <c r="AZ109" s="13">
        <v>0</v>
      </c>
      <c r="BA109" s="13">
        <v>60</v>
      </c>
      <c r="BB109" s="13">
        <v>263</v>
      </c>
      <c r="BC109" s="13">
        <v>83</v>
      </c>
      <c r="BD109" s="13">
        <v>675</v>
      </c>
      <c r="BE109" s="13">
        <v>50</v>
      </c>
      <c r="BF109" s="13">
        <v>167</v>
      </c>
      <c r="BG109" s="13">
        <v>99</v>
      </c>
      <c r="BH109" s="13">
        <v>82</v>
      </c>
      <c r="BI109" s="13">
        <v>3</v>
      </c>
      <c r="BJ109" s="13">
        <v>130</v>
      </c>
      <c r="BK109" s="13">
        <v>1640</v>
      </c>
      <c r="BL109" s="13">
        <v>1297</v>
      </c>
      <c r="BM109" s="13">
        <v>33</v>
      </c>
      <c r="BN109" s="13">
        <v>1342</v>
      </c>
      <c r="BO109" s="13">
        <v>77</v>
      </c>
      <c r="BP109" s="13">
        <v>1970</v>
      </c>
      <c r="BQ109" s="13">
        <v>8</v>
      </c>
      <c r="BR109" s="13">
        <v>241</v>
      </c>
      <c r="BS109" s="13">
        <v>163</v>
      </c>
      <c r="BT109" s="13">
        <v>67</v>
      </c>
      <c r="BU109" s="13">
        <v>2863</v>
      </c>
      <c r="BV109" s="13">
        <v>1</v>
      </c>
      <c r="BW109" s="13">
        <v>35</v>
      </c>
      <c r="BX109" s="13">
        <v>255</v>
      </c>
      <c r="BY109" s="13">
        <v>3</v>
      </c>
      <c r="BZ109" s="13">
        <v>312</v>
      </c>
      <c r="CA109" s="13">
        <v>163</v>
      </c>
      <c r="CB109" s="13">
        <v>7</v>
      </c>
      <c r="CC109" s="13">
        <v>11</v>
      </c>
      <c r="CD109" s="13">
        <v>591</v>
      </c>
      <c r="CE109" s="13">
        <v>2</v>
      </c>
      <c r="CF109" s="13">
        <v>678</v>
      </c>
      <c r="CG109" s="13">
        <v>289</v>
      </c>
      <c r="CH109" s="13">
        <v>76</v>
      </c>
      <c r="CI109" s="13">
        <v>1704</v>
      </c>
      <c r="CJ109" s="13">
        <v>827</v>
      </c>
      <c r="CK109" s="13">
        <v>6</v>
      </c>
      <c r="CL109" s="13">
        <v>0</v>
      </c>
      <c r="CM109" s="13">
        <v>0</v>
      </c>
      <c r="CN109" s="13">
        <v>103</v>
      </c>
      <c r="CO109" s="13">
        <v>0</v>
      </c>
      <c r="CP109" s="13">
        <v>1</v>
      </c>
      <c r="CQ109" s="13">
        <v>774</v>
      </c>
      <c r="CR109" s="13">
        <v>55</v>
      </c>
      <c r="CS109" s="13">
        <v>58</v>
      </c>
      <c r="CT109" s="13">
        <v>12</v>
      </c>
      <c r="CU109" s="13">
        <v>24</v>
      </c>
      <c r="CV109" s="14">
        <v>31030</v>
      </c>
      <c r="CW109" s="13">
        <v>0</v>
      </c>
      <c r="CX109" s="13">
        <v>0</v>
      </c>
      <c r="CY109" s="13">
        <v>0</v>
      </c>
      <c r="CZ109" s="13">
        <v>0</v>
      </c>
      <c r="DA109" s="13">
        <v>0</v>
      </c>
      <c r="DB109" s="14">
        <v>0</v>
      </c>
      <c r="DC109" s="14">
        <v>31030</v>
      </c>
      <c r="DD109" s="13">
        <v>0</v>
      </c>
      <c r="DE109" s="13">
        <v>0</v>
      </c>
      <c r="DF109" s="13">
        <v>0</v>
      </c>
      <c r="DG109" s="13">
        <v>0</v>
      </c>
      <c r="DH109" s="13">
        <v>0</v>
      </c>
      <c r="DI109" s="13">
        <v>0</v>
      </c>
      <c r="DJ109" s="14">
        <v>0</v>
      </c>
      <c r="DK109" s="13">
        <v>1</v>
      </c>
      <c r="DL109" s="13">
        <v>48</v>
      </c>
      <c r="DM109" s="13">
        <v>0</v>
      </c>
      <c r="DN109" s="14">
        <v>31079</v>
      </c>
    </row>
    <row r="110" spans="1:118" x14ac:dyDescent="0.2">
      <c r="A110" s="10"/>
      <c r="B110" s="11" t="s">
        <v>535</v>
      </c>
      <c r="C110" s="12" t="s">
        <v>536</v>
      </c>
      <c r="D110" s="13">
        <v>100</v>
      </c>
      <c r="E110" s="13">
        <v>116</v>
      </c>
      <c r="F110" s="13">
        <v>106</v>
      </c>
      <c r="G110" s="13">
        <v>26</v>
      </c>
      <c r="H110" s="13">
        <v>33</v>
      </c>
      <c r="I110" s="13">
        <v>592</v>
      </c>
      <c r="J110" s="13">
        <v>27</v>
      </c>
      <c r="K110" s="13">
        <v>135</v>
      </c>
      <c r="L110" s="13">
        <v>47</v>
      </c>
      <c r="M110" s="13">
        <v>48</v>
      </c>
      <c r="N110" s="13">
        <v>240</v>
      </c>
      <c r="O110" s="13">
        <v>49</v>
      </c>
      <c r="P110" s="13">
        <v>1402</v>
      </c>
      <c r="Q110" s="13">
        <v>140</v>
      </c>
      <c r="R110" s="13">
        <v>27</v>
      </c>
      <c r="S110" s="13">
        <v>75</v>
      </c>
      <c r="T110" s="13">
        <v>336</v>
      </c>
      <c r="U110" s="13">
        <v>73</v>
      </c>
      <c r="V110" s="13">
        <v>5</v>
      </c>
      <c r="W110" s="13">
        <v>161</v>
      </c>
      <c r="X110" s="13">
        <v>69</v>
      </c>
      <c r="Y110" s="13">
        <v>2</v>
      </c>
      <c r="Z110" s="13">
        <v>375</v>
      </c>
      <c r="AA110" s="13">
        <v>180</v>
      </c>
      <c r="AB110" s="13">
        <v>99</v>
      </c>
      <c r="AC110" s="13">
        <v>64</v>
      </c>
      <c r="AD110" s="13">
        <v>74</v>
      </c>
      <c r="AE110" s="13">
        <v>189</v>
      </c>
      <c r="AF110" s="13">
        <v>6</v>
      </c>
      <c r="AG110" s="13">
        <v>61</v>
      </c>
      <c r="AH110" s="13">
        <v>400</v>
      </c>
      <c r="AI110" s="13">
        <v>711</v>
      </c>
      <c r="AJ110" s="13">
        <v>5</v>
      </c>
      <c r="AK110" s="13">
        <v>841</v>
      </c>
      <c r="AL110" s="13">
        <v>440</v>
      </c>
      <c r="AM110" s="13">
        <v>347</v>
      </c>
      <c r="AN110" s="13">
        <v>65</v>
      </c>
      <c r="AO110" s="13">
        <v>209</v>
      </c>
      <c r="AP110" s="13">
        <v>337</v>
      </c>
      <c r="AQ110" s="13">
        <v>33</v>
      </c>
      <c r="AR110" s="13">
        <v>81</v>
      </c>
      <c r="AS110" s="13">
        <v>51</v>
      </c>
      <c r="AT110" s="13">
        <v>543</v>
      </c>
      <c r="AU110" s="13">
        <v>22</v>
      </c>
      <c r="AV110" s="13">
        <v>414</v>
      </c>
      <c r="AW110" s="13">
        <v>196</v>
      </c>
      <c r="AX110" s="13">
        <v>16</v>
      </c>
      <c r="AY110" s="13">
        <v>107</v>
      </c>
      <c r="AZ110" s="13">
        <v>5</v>
      </c>
      <c r="BA110" s="13">
        <v>141</v>
      </c>
      <c r="BB110" s="13">
        <v>115</v>
      </c>
      <c r="BC110" s="13">
        <v>195</v>
      </c>
      <c r="BD110" s="13">
        <v>47</v>
      </c>
      <c r="BE110" s="13">
        <v>52</v>
      </c>
      <c r="BF110" s="13">
        <v>310</v>
      </c>
      <c r="BG110" s="13">
        <v>30</v>
      </c>
      <c r="BH110" s="13">
        <v>70</v>
      </c>
      <c r="BI110" s="13">
        <v>534</v>
      </c>
      <c r="BJ110" s="13">
        <v>6</v>
      </c>
      <c r="BK110" s="13">
        <v>1531</v>
      </c>
      <c r="BL110" s="13">
        <v>160</v>
      </c>
      <c r="BM110" s="13">
        <v>69</v>
      </c>
      <c r="BN110" s="13">
        <v>892</v>
      </c>
      <c r="BO110" s="13">
        <v>381</v>
      </c>
      <c r="BP110" s="13">
        <v>391</v>
      </c>
      <c r="BQ110" s="13">
        <v>97</v>
      </c>
      <c r="BR110" s="13">
        <v>287</v>
      </c>
      <c r="BS110" s="13">
        <v>346</v>
      </c>
      <c r="BT110" s="13">
        <v>209</v>
      </c>
      <c r="BU110" s="13">
        <v>1359</v>
      </c>
      <c r="BV110" s="13">
        <v>24</v>
      </c>
      <c r="BW110" s="13">
        <v>195</v>
      </c>
      <c r="BX110" s="13">
        <v>184</v>
      </c>
      <c r="BY110" s="13">
        <v>91</v>
      </c>
      <c r="BZ110" s="13">
        <v>85</v>
      </c>
      <c r="CA110" s="13">
        <v>2343</v>
      </c>
      <c r="CB110" s="13">
        <v>869</v>
      </c>
      <c r="CC110" s="13">
        <v>1057</v>
      </c>
      <c r="CD110" s="13">
        <v>459</v>
      </c>
      <c r="CE110" s="13">
        <v>70</v>
      </c>
      <c r="CF110" s="13">
        <v>123</v>
      </c>
      <c r="CG110" s="13">
        <v>224</v>
      </c>
      <c r="CH110" s="13">
        <v>275</v>
      </c>
      <c r="CI110" s="13">
        <v>338</v>
      </c>
      <c r="CJ110" s="13">
        <v>270</v>
      </c>
      <c r="CK110" s="13">
        <v>42</v>
      </c>
      <c r="CL110" s="13">
        <v>206</v>
      </c>
      <c r="CM110" s="13">
        <v>313</v>
      </c>
      <c r="CN110" s="13">
        <v>59</v>
      </c>
      <c r="CO110" s="13">
        <v>179</v>
      </c>
      <c r="CP110" s="13">
        <v>74</v>
      </c>
      <c r="CQ110" s="13">
        <v>651</v>
      </c>
      <c r="CR110" s="13">
        <v>920</v>
      </c>
      <c r="CS110" s="13">
        <v>1442</v>
      </c>
      <c r="CT110" s="13">
        <v>845</v>
      </c>
      <c r="CU110" s="13">
        <v>804</v>
      </c>
      <c r="CV110" s="14">
        <v>29044</v>
      </c>
      <c r="CW110" s="13">
        <v>83</v>
      </c>
      <c r="CX110" s="13">
        <v>85</v>
      </c>
      <c r="CY110" s="13">
        <v>3</v>
      </c>
      <c r="CZ110" s="13">
        <v>505</v>
      </c>
      <c r="DA110" s="13">
        <v>8</v>
      </c>
      <c r="DB110" s="14">
        <v>684</v>
      </c>
      <c r="DC110" s="14">
        <v>29728</v>
      </c>
      <c r="DD110" s="13">
        <v>0</v>
      </c>
      <c r="DE110" s="13">
        <v>0</v>
      </c>
      <c r="DF110" s="13">
        <v>0</v>
      </c>
      <c r="DG110" s="13">
        <v>0</v>
      </c>
      <c r="DH110" s="13">
        <v>66</v>
      </c>
      <c r="DI110" s="13">
        <v>0</v>
      </c>
      <c r="DJ110" s="14">
        <v>66</v>
      </c>
      <c r="DK110" s="13">
        <v>0</v>
      </c>
      <c r="DL110" s="13">
        <v>0</v>
      </c>
      <c r="DM110" s="13">
        <v>0</v>
      </c>
      <c r="DN110" s="14">
        <v>29794</v>
      </c>
    </row>
    <row r="111" spans="1:118" x14ac:dyDescent="0.2">
      <c r="A111" s="10"/>
      <c r="B111" s="11" t="s">
        <v>537</v>
      </c>
      <c r="C111" s="12" t="s">
        <v>538</v>
      </c>
      <c r="D111" s="13">
        <v>0</v>
      </c>
      <c r="E111" s="13">
        <v>0</v>
      </c>
      <c r="F111" s="13">
        <v>137</v>
      </c>
      <c r="G111" s="13">
        <v>78</v>
      </c>
      <c r="H111" s="13">
        <v>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3">
        <v>0</v>
      </c>
      <c r="O111" s="13">
        <v>184</v>
      </c>
      <c r="P111" s="13">
        <v>216</v>
      </c>
      <c r="Q111" s="13">
        <v>1269</v>
      </c>
      <c r="R111" s="13">
        <v>16</v>
      </c>
      <c r="S111" s="13">
        <v>0</v>
      </c>
      <c r="T111" s="13">
        <v>96</v>
      </c>
      <c r="U111" s="13">
        <v>0</v>
      </c>
      <c r="V111" s="13">
        <v>0</v>
      </c>
      <c r="W111" s="13">
        <v>0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3">
        <v>17</v>
      </c>
      <c r="AD111" s="13">
        <v>10</v>
      </c>
      <c r="AE111" s="13">
        <v>0</v>
      </c>
      <c r="AF111" s="13">
        <v>0</v>
      </c>
      <c r="AG111" s="13">
        <v>0</v>
      </c>
      <c r="AH111" s="13">
        <v>161</v>
      </c>
      <c r="AI111" s="13">
        <v>291</v>
      </c>
      <c r="AJ111" s="13">
        <v>0</v>
      </c>
      <c r="AK111" s="13">
        <v>3340</v>
      </c>
      <c r="AL111" s="13">
        <v>244</v>
      </c>
      <c r="AM111" s="13">
        <v>599</v>
      </c>
      <c r="AN111" s="13">
        <v>0</v>
      </c>
      <c r="AO111" s="13">
        <v>366</v>
      </c>
      <c r="AP111" s="13">
        <v>172</v>
      </c>
      <c r="AQ111" s="13">
        <v>0</v>
      </c>
      <c r="AR111" s="13">
        <v>279</v>
      </c>
      <c r="AS111" s="13">
        <v>0</v>
      </c>
      <c r="AT111" s="13">
        <v>0</v>
      </c>
      <c r="AU111" s="13">
        <v>0</v>
      </c>
      <c r="AV111" s="13">
        <v>486</v>
      </c>
      <c r="AW111" s="13">
        <v>82</v>
      </c>
      <c r="AX111" s="13">
        <v>0</v>
      </c>
      <c r="AY111" s="13">
        <v>0</v>
      </c>
      <c r="AZ111" s="13">
        <v>0</v>
      </c>
      <c r="BA111" s="13">
        <v>256</v>
      </c>
      <c r="BB111" s="13">
        <v>0</v>
      </c>
      <c r="BC111" s="13">
        <v>0</v>
      </c>
      <c r="BD111" s="13">
        <v>0</v>
      </c>
      <c r="BE111" s="13">
        <v>81</v>
      </c>
      <c r="BF111" s="13">
        <v>41</v>
      </c>
      <c r="BG111" s="13">
        <v>20</v>
      </c>
      <c r="BH111" s="13">
        <v>0</v>
      </c>
      <c r="BI111" s="13">
        <v>0</v>
      </c>
      <c r="BJ111" s="13">
        <v>0</v>
      </c>
      <c r="BK111" s="13">
        <v>42</v>
      </c>
      <c r="BL111" s="13">
        <v>0</v>
      </c>
      <c r="BM111" s="13">
        <v>0</v>
      </c>
      <c r="BN111" s="13">
        <v>0</v>
      </c>
      <c r="BO111" s="13">
        <v>0</v>
      </c>
      <c r="BP111" s="13">
        <v>0</v>
      </c>
      <c r="BQ111" s="13">
        <v>0</v>
      </c>
      <c r="BR111" s="13">
        <v>0</v>
      </c>
      <c r="BS111" s="13">
        <v>2452</v>
      </c>
      <c r="BT111" s="13">
        <v>0</v>
      </c>
      <c r="BU111" s="13">
        <v>186</v>
      </c>
      <c r="BV111" s="13">
        <v>0</v>
      </c>
      <c r="BW111" s="13">
        <v>56</v>
      </c>
      <c r="BX111" s="13">
        <v>588</v>
      </c>
      <c r="BY111" s="13">
        <v>299</v>
      </c>
      <c r="BZ111" s="13">
        <v>140</v>
      </c>
      <c r="CA111" s="13">
        <v>1215</v>
      </c>
      <c r="CB111" s="13">
        <v>156</v>
      </c>
      <c r="CC111" s="13">
        <v>890</v>
      </c>
      <c r="CD111" s="13">
        <v>678</v>
      </c>
      <c r="CE111" s="13">
        <v>1606</v>
      </c>
      <c r="CF111" s="13">
        <v>0</v>
      </c>
      <c r="CG111" s="13">
        <v>0</v>
      </c>
      <c r="CH111" s="13">
        <v>0</v>
      </c>
      <c r="CI111" s="13">
        <v>390</v>
      </c>
      <c r="CJ111" s="13">
        <v>0</v>
      </c>
      <c r="CK111" s="13">
        <v>0</v>
      </c>
      <c r="CL111" s="13">
        <v>38</v>
      </c>
      <c r="CM111" s="13">
        <v>155</v>
      </c>
      <c r="CN111" s="13">
        <v>0</v>
      </c>
      <c r="CO111" s="13">
        <v>549</v>
      </c>
      <c r="CP111" s="13">
        <v>0</v>
      </c>
      <c r="CQ111" s="13">
        <v>3728</v>
      </c>
      <c r="CR111" s="13">
        <v>2299</v>
      </c>
      <c r="CS111" s="13">
        <v>808</v>
      </c>
      <c r="CT111" s="13">
        <v>384</v>
      </c>
      <c r="CU111" s="13">
        <v>0</v>
      </c>
      <c r="CV111" s="14">
        <v>25100</v>
      </c>
      <c r="CW111" s="13">
        <v>361</v>
      </c>
      <c r="CX111" s="13">
        <v>0</v>
      </c>
      <c r="CY111" s="13">
        <v>0</v>
      </c>
      <c r="CZ111" s="13">
        <v>142</v>
      </c>
      <c r="DA111" s="13">
        <v>0</v>
      </c>
      <c r="DB111" s="14">
        <v>503</v>
      </c>
      <c r="DC111" s="14">
        <v>25603</v>
      </c>
      <c r="DD111" s="13">
        <v>0</v>
      </c>
      <c r="DE111" s="13">
        <v>0</v>
      </c>
      <c r="DF111" s="13">
        <v>0</v>
      </c>
      <c r="DG111" s="13">
        <v>0</v>
      </c>
      <c r="DH111" s="13">
        <v>0</v>
      </c>
      <c r="DI111" s="13">
        <v>0</v>
      </c>
      <c r="DJ111" s="14">
        <v>0</v>
      </c>
      <c r="DK111" s="13">
        <v>0</v>
      </c>
      <c r="DL111" s="13">
        <v>0</v>
      </c>
      <c r="DM111" s="13">
        <v>0</v>
      </c>
      <c r="DN111" s="14">
        <v>25603</v>
      </c>
    </row>
    <row r="112" spans="1:118" x14ac:dyDescent="0.2">
      <c r="A112" s="10"/>
      <c r="B112" s="11" t="s">
        <v>539</v>
      </c>
      <c r="C112" s="12" t="s">
        <v>540</v>
      </c>
      <c r="D112" s="13">
        <v>36</v>
      </c>
      <c r="E112" s="13">
        <v>33</v>
      </c>
      <c r="F112" s="13">
        <v>3</v>
      </c>
      <c r="G112" s="13">
        <v>1</v>
      </c>
      <c r="H112" s="13">
        <v>3</v>
      </c>
      <c r="I112" s="13">
        <v>78</v>
      </c>
      <c r="J112" s="13">
        <v>6</v>
      </c>
      <c r="K112" s="13">
        <v>4</v>
      </c>
      <c r="L112" s="13">
        <v>0</v>
      </c>
      <c r="M112" s="13">
        <v>5</v>
      </c>
      <c r="N112" s="13">
        <v>11</v>
      </c>
      <c r="O112" s="13">
        <v>75</v>
      </c>
      <c r="P112" s="13">
        <v>246</v>
      </c>
      <c r="Q112" s="13">
        <v>166</v>
      </c>
      <c r="R112" s="13">
        <v>0</v>
      </c>
      <c r="S112" s="13">
        <v>5</v>
      </c>
      <c r="T112" s="13">
        <v>12</v>
      </c>
      <c r="U112" s="13">
        <v>3</v>
      </c>
      <c r="V112" s="13">
        <v>1</v>
      </c>
      <c r="W112" s="13">
        <v>84</v>
      </c>
      <c r="X112" s="13">
        <v>14</v>
      </c>
      <c r="Y112" s="13">
        <v>0</v>
      </c>
      <c r="Z112" s="13">
        <v>6</v>
      </c>
      <c r="AA112" s="13">
        <v>29</v>
      </c>
      <c r="AB112" s="13">
        <v>19</v>
      </c>
      <c r="AC112" s="13">
        <v>22</v>
      </c>
      <c r="AD112" s="13">
        <v>15</v>
      </c>
      <c r="AE112" s="13">
        <v>24</v>
      </c>
      <c r="AF112" s="13">
        <v>26</v>
      </c>
      <c r="AG112" s="13">
        <v>1</v>
      </c>
      <c r="AH112" s="13">
        <v>153</v>
      </c>
      <c r="AI112" s="13">
        <v>190</v>
      </c>
      <c r="AJ112" s="13">
        <v>1</v>
      </c>
      <c r="AK112" s="13">
        <v>78</v>
      </c>
      <c r="AL112" s="13">
        <v>33</v>
      </c>
      <c r="AM112" s="13">
        <v>106</v>
      </c>
      <c r="AN112" s="13">
        <v>0</v>
      </c>
      <c r="AO112" s="13">
        <v>29</v>
      </c>
      <c r="AP112" s="13">
        <v>82</v>
      </c>
      <c r="AQ112" s="13">
        <v>4</v>
      </c>
      <c r="AR112" s="13">
        <v>3</v>
      </c>
      <c r="AS112" s="13">
        <v>7</v>
      </c>
      <c r="AT112" s="13">
        <v>10</v>
      </c>
      <c r="AU112" s="13">
        <v>5</v>
      </c>
      <c r="AV112" s="13">
        <v>180</v>
      </c>
      <c r="AW112" s="13">
        <v>58</v>
      </c>
      <c r="AX112" s="13">
        <v>1</v>
      </c>
      <c r="AY112" s="13">
        <v>2</v>
      </c>
      <c r="AZ112" s="13">
        <v>0</v>
      </c>
      <c r="BA112" s="13">
        <v>89</v>
      </c>
      <c r="BB112" s="13">
        <v>1</v>
      </c>
      <c r="BC112" s="13">
        <v>24</v>
      </c>
      <c r="BD112" s="13">
        <v>5</v>
      </c>
      <c r="BE112" s="13">
        <v>7</v>
      </c>
      <c r="BF112" s="13">
        <v>570</v>
      </c>
      <c r="BG112" s="13">
        <v>4</v>
      </c>
      <c r="BH112" s="13">
        <v>11</v>
      </c>
      <c r="BI112" s="13">
        <v>92</v>
      </c>
      <c r="BJ112" s="13">
        <v>1</v>
      </c>
      <c r="BK112" s="13">
        <v>39</v>
      </c>
      <c r="BL112" s="13">
        <v>117</v>
      </c>
      <c r="BM112" s="13">
        <v>13</v>
      </c>
      <c r="BN112" s="13">
        <v>20</v>
      </c>
      <c r="BO112" s="13">
        <v>95</v>
      </c>
      <c r="BP112" s="13">
        <v>22</v>
      </c>
      <c r="BQ112" s="13">
        <v>2</v>
      </c>
      <c r="BR112" s="13">
        <v>5</v>
      </c>
      <c r="BS112" s="13">
        <v>1147</v>
      </c>
      <c r="BT112" s="13">
        <v>148</v>
      </c>
      <c r="BU112" s="13">
        <v>475</v>
      </c>
      <c r="BV112" s="13">
        <v>3</v>
      </c>
      <c r="BW112" s="13">
        <v>3</v>
      </c>
      <c r="BX112" s="13">
        <v>72</v>
      </c>
      <c r="BY112" s="13">
        <v>15</v>
      </c>
      <c r="BZ112" s="13">
        <v>16</v>
      </c>
      <c r="CA112" s="13">
        <v>2207</v>
      </c>
      <c r="CB112" s="13">
        <v>95</v>
      </c>
      <c r="CC112" s="13">
        <v>177</v>
      </c>
      <c r="CD112" s="13">
        <v>316</v>
      </c>
      <c r="CE112" s="13">
        <v>2</v>
      </c>
      <c r="CF112" s="13">
        <v>12</v>
      </c>
      <c r="CG112" s="13">
        <v>37</v>
      </c>
      <c r="CH112" s="13">
        <v>14</v>
      </c>
      <c r="CI112" s="13">
        <v>80</v>
      </c>
      <c r="CJ112" s="13">
        <v>31</v>
      </c>
      <c r="CK112" s="13">
        <v>33</v>
      </c>
      <c r="CL112" s="13">
        <v>18</v>
      </c>
      <c r="CM112" s="13">
        <v>16</v>
      </c>
      <c r="CN112" s="13">
        <v>15</v>
      </c>
      <c r="CO112" s="13">
        <v>18</v>
      </c>
      <c r="CP112" s="13">
        <v>1</v>
      </c>
      <c r="CQ112" s="13">
        <v>266</v>
      </c>
      <c r="CR112" s="13">
        <v>958</v>
      </c>
      <c r="CS112" s="13">
        <v>384</v>
      </c>
      <c r="CT112" s="13">
        <v>262</v>
      </c>
      <c r="CU112" s="13">
        <v>486</v>
      </c>
      <c r="CV112" s="14">
        <v>10294</v>
      </c>
      <c r="CW112" s="13">
        <v>12</v>
      </c>
      <c r="CX112" s="13">
        <v>1627</v>
      </c>
      <c r="CY112" s="13">
        <v>24</v>
      </c>
      <c r="CZ112" s="13">
        <v>15</v>
      </c>
      <c r="DA112" s="13">
        <v>0</v>
      </c>
      <c r="DB112" s="14">
        <v>1678</v>
      </c>
      <c r="DC112" s="14">
        <v>11972</v>
      </c>
      <c r="DD112" s="13">
        <v>0</v>
      </c>
      <c r="DE112" s="13">
        <v>0</v>
      </c>
      <c r="DF112" s="13">
        <v>0</v>
      </c>
      <c r="DG112" s="13">
        <v>0</v>
      </c>
      <c r="DH112" s="13">
        <v>0</v>
      </c>
      <c r="DI112" s="13">
        <v>0</v>
      </c>
      <c r="DJ112" s="14">
        <v>0</v>
      </c>
      <c r="DK112" s="13">
        <v>0</v>
      </c>
      <c r="DL112" s="13">
        <v>0</v>
      </c>
      <c r="DM112" s="13">
        <v>0</v>
      </c>
      <c r="DN112" s="14">
        <v>11972</v>
      </c>
    </row>
    <row r="113" spans="1:118" x14ac:dyDescent="0.2">
      <c r="A113" s="10"/>
      <c r="B113" s="11" t="s">
        <v>541</v>
      </c>
      <c r="C113" s="12" t="s">
        <v>542</v>
      </c>
      <c r="D113" s="13">
        <v>106</v>
      </c>
      <c r="E113" s="13">
        <v>101</v>
      </c>
      <c r="F113" s="13">
        <v>3</v>
      </c>
      <c r="G113" s="13">
        <v>91</v>
      </c>
      <c r="H113" s="13">
        <v>2</v>
      </c>
      <c r="I113" s="13">
        <v>398</v>
      </c>
      <c r="J113" s="13">
        <v>32</v>
      </c>
      <c r="K113" s="13">
        <v>8</v>
      </c>
      <c r="L113" s="13">
        <v>5</v>
      </c>
      <c r="M113" s="13">
        <v>144</v>
      </c>
      <c r="N113" s="13">
        <v>126</v>
      </c>
      <c r="O113" s="13">
        <v>26</v>
      </c>
      <c r="P113" s="13">
        <v>867</v>
      </c>
      <c r="Q113" s="13">
        <v>0</v>
      </c>
      <c r="R113" s="13">
        <v>0</v>
      </c>
      <c r="S113" s="13">
        <v>108</v>
      </c>
      <c r="T113" s="13">
        <v>55</v>
      </c>
      <c r="U113" s="13">
        <v>65</v>
      </c>
      <c r="V113" s="13">
        <v>11</v>
      </c>
      <c r="W113" s="13">
        <v>97</v>
      </c>
      <c r="X113" s="13">
        <v>78</v>
      </c>
      <c r="Y113" s="13">
        <v>1</v>
      </c>
      <c r="Z113" s="13">
        <v>19</v>
      </c>
      <c r="AA113" s="13">
        <v>11</v>
      </c>
      <c r="AB113" s="13">
        <v>57</v>
      </c>
      <c r="AC113" s="13">
        <v>162</v>
      </c>
      <c r="AD113" s="13">
        <v>46</v>
      </c>
      <c r="AE113" s="13">
        <v>197</v>
      </c>
      <c r="AF113" s="13">
        <v>0</v>
      </c>
      <c r="AG113" s="13">
        <v>0</v>
      </c>
      <c r="AH113" s="13">
        <v>152</v>
      </c>
      <c r="AI113" s="13">
        <v>153</v>
      </c>
      <c r="AJ113" s="13">
        <v>20</v>
      </c>
      <c r="AK113" s="13">
        <v>97</v>
      </c>
      <c r="AL113" s="13">
        <v>307</v>
      </c>
      <c r="AM113" s="13">
        <v>121</v>
      </c>
      <c r="AN113" s="13">
        <v>4</v>
      </c>
      <c r="AO113" s="13">
        <v>243</v>
      </c>
      <c r="AP113" s="13">
        <v>322</v>
      </c>
      <c r="AQ113" s="13">
        <v>25</v>
      </c>
      <c r="AR113" s="13">
        <v>79</v>
      </c>
      <c r="AS113" s="13">
        <v>4</v>
      </c>
      <c r="AT113" s="13">
        <v>56</v>
      </c>
      <c r="AU113" s="13">
        <v>9</v>
      </c>
      <c r="AV113" s="13">
        <v>216</v>
      </c>
      <c r="AW113" s="13">
        <v>175</v>
      </c>
      <c r="AX113" s="13">
        <v>0</v>
      </c>
      <c r="AY113" s="13">
        <v>0</v>
      </c>
      <c r="AZ113" s="13">
        <v>0</v>
      </c>
      <c r="BA113" s="13">
        <v>30</v>
      </c>
      <c r="BB113" s="13">
        <v>17</v>
      </c>
      <c r="BC113" s="13">
        <v>23</v>
      </c>
      <c r="BD113" s="13">
        <v>2</v>
      </c>
      <c r="BE113" s="13">
        <v>2</v>
      </c>
      <c r="BF113" s="13">
        <v>177</v>
      </c>
      <c r="BG113" s="13">
        <v>12</v>
      </c>
      <c r="BH113" s="13">
        <v>101</v>
      </c>
      <c r="BI113" s="13">
        <v>191</v>
      </c>
      <c r="BJ113" s="13">
        <v>0</v>
      </c>
      <c r="BK113" s="13">
        <v>786</v>
      </c>
      <c r="BL113" s="13">
        <v>104</v>
      </c>
      <c r="BM113" s="13">
        <v>0</v>
      </c>
      <c r="BN113" s="13">
        <v>802</v>
      </c>
      <c r="BO113" s="13">
        <v>12</v>
      </c>
      <c r="BP113" s="13">
        <v>41</v>
      </c>
      <c r="BQ113" s="13">
        <v>1</v>
      </c>
      <c r="BR113" s="13">
        <v>212</v>
      </c>
      <c r="BS113" s="13">
        <v>146</v>
      </c>
      <c r="BT113" s="13">
        <v>35</v>
      </c>
      <c r="BU113" s="13">
        <v>106</v>
      </c>
      <c r="BV113" s="13">
        <v>17</v>
      </c>
      <c r="BW113" s="13">
        <v>13</v>
      </c>
      <c r="BX113" s="13">
        <v>285</v>
      </c>
      <c r="BY113" s="13">
        <v>227</v>
      </c>
      <c r="BZ113" s="13">
        <v>144</v>
      </c>
      <c r="CA113" s="13">
        <v>236</v>
      </c>
      <c r="CB113" s="13">
        <v>145</v>
      </c>
      <c r="CC113" s="13">
        <v>151</v>
      </c>
      <c r="CD113" s="13">
        <v>369</v>
      </c>
      <c r="CE113" s="13">
        <v>13</v>
      </c>
      <c r="CF113" s="13">
        <v>66</v>
      </c>
      <c r="CG113" s="13">
        <v>75</v>
      </c>
      <c r="CH113" s="13">
        <v>1</v>
      </c>
      <c r="CI113" s="13">
        <v>190</v>
      </c>
      <c r="CJ113" s="13">
        <v>115</v>
      </c>
      <c r="CK113" s="13">
        <v>80</v>
      </c>
      <c r="CL113" s="13">
        <v>7</v>
      </c>
      <c r="CM113" s="13">
        <v>35</v>
      </c>
      <c r="CN113" s="13">
        <v>12</v>
      </c>
      <c r="CO113" s="13">
        <v>0</v>
      </c>
      <c r="CP113" s="13">
        <v>21</v>
      </c>
      <c r="CQ113" s="13">
        <v>212</v>
      </c>
      <c r="CR113" s="13">
        <v>76</v>
      </c>
      <c r="CS113" s="13">
        <v>70</v>
      </c>
      <c r="CT113" s="13">
        <v>72</v>
      </c>
      <c r="CU113" s="13">
        <v>204</v>
      </c>
      <c r="CV113" s="14">
        <v>10435</v>
      </c>
      <c r="CW113" s="13">
        <v>14</v>
      </c>
      <c r="CX113" s="13">
        <v>0</v>
      </c>
      <c r="CY113" s="13">
        <v>0</v>
      </c>
      <c r="CZ113" s="13">
        <v>563</v>
      </c>
      <c r="DA113" s="13">
        <v>18</v>
      </c>
      <c r="DB113" s="14">
        <v>595</v>
      </c>
      <c r="DC113" s="14">
        <v>11030</v>
      </c>
      <c r="DD113" s="13">
        <v>0</v>
      </c>
      <c r="DE113" s="13">
        <v>0</v>
      </c>
      <c r="DF113" s="13">
        <v>0</v>
      </c>
      <c r="DG113" s="13">
        <v>0</v>
      </c>
      <c r="DH113" s="13">
        <v>0</v>
      </c>
      <c r="DI113" s="13">
        <v>31</v>
      </c>
      <c r="DJ113" s="14">
        <v>31</v>
      </c>
      <c r="DK113" s="13">
        <v>8</v>
      </c>
      <c r="DL113" s="13">
        <v>2</v>
      </c>
      <c r="DM113" s="13">
        <v>0</v>
      </c>
      <c r="DN113" s="14">
        <v>11071</v>
      </c>
    </row>
    <row r="114" spans="1:118" x14ac:dyDescent="0.2">
      <c r="A114" s="10"/>
      <c r="B114" s="11" t="s">
        <v>543</v>
      </c>
      <c r="C114" s="12" t="s">
        <v>544</v>
      </c>
      <c r="D114" s="13">
        <v>0</v>
      </c>
      <c r="E114" s="13">
        <v>0</v>
      </c>
      <c r="F114" s="13">
        <v>0</v>
      </c>
      <c r="G114" s="13">
        <v>0</v>
      </c>
      <c r="H114" s="13">
        <v>0</v>
      </c>
      <c r="I114" s="13">
        <v>318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783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4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>
        <v>2</v>
      </c>
      <c r="AF114" s="13">
        <v>0</v>
      </c>
      <c r="AG114" s="13">
        <v>0</v>
      </c>
      <c r="AH114" s="13">
        <v>0</v>
      </c>
      <c r="AI114" s="13">
        <v>936</v>
      </c>
      <c r="AJ114" s="13">
        <v>0</v>
      </c>
      <c r="AK114" s="13">
        <v>2</v>
      </c>
      <c r="AL114" s="13">
        <v>168</v>
      </c>
      <c r="AM114" s="13">
        <v>0</v>
      </c>
      <c r="AN114" s="13">
        <v>0</v>
      </c>
      <c r="AO114" s="13">
        <v>1</v>
      </c>
      <c r="AP114" s="13">
        <v>2</v>
      </c>
      <c r="AQ114" s="13">
        <v>0</v>
      </c>
      <c r="AR114" s="13">
        <v>0</v>
      </c>
      <c r="AS114" s="13">
        <v>0</v>
      </c>
      <c r="AT114" s="13">
        <v>0</v>
      </c>
      <c r="AU114" s="13">
        <v>0</v>
      </c>
      <c r="AV114" s="13">
        <v>0</v>
      </c>
      <c r="AW114" s="13">
        <v>0</v>
      </c>
      <c r="AX114" s="13">
        <v>0</v>
      </c>
      <c r="AY114" s="13">
        <v>0</v>
      </c>
      <c r="AZ114" s="13">
        <v>0</v>
      </c>
      <c r="BA114" s="13">
        <v>0</v>
      </c>
      <c r="BB114" s="13">
        <v>0</v>
      </c>
      <c r="BC114" s="13">
        <v>0</v>
      </c>
      <c r="BD114" s="13">
        <v>0</v>
      </c>
      <c r="BE114" s="13">
        <v>0</v>
      </c>
      <c r="BF114" s="13">
        <v>0</v>
      </c>
      <c r="BG114" s="13">
        <v>0</v>
      </c>
      <c r="BH114" s="13">
        <v>0</v>
      </c>
      <c r="BI114" s="13">
        <v>227</v>
      </c>
      <c r="BJ114" s="13">
        <v>0</v>
      </c>
      <c r="BK114" s="13">
        <v>2</v>
      </c>
      <c r="BL114" s="13">
        <v>4</v>
      </c>
      <c r="BM114" s="13">
        <v>1</v>
      </c>
      <c r="BN114" s="13">
        <v>0</v>
      </c>
      <c r="BO114" s="13">
        <v>0</v>
      </c>
      <c r="BP114" s="13">
        <v>0</v>
      </c>
      <c r="BQ114" s="13">
        <v>0</v>
      </c>
      <c r="BR114" s="13">
        <v>0</v>
      </c>
      <c r="BS114" s="13">
        <v>288</v>
      </c>
      <c r="BT114" s="13">
        <v>0</v>
      </c>
      <c r="BU114" s="13">
        <v>12</v>
      </c>
      <c r="BV114" s="13">
        <v>0</v>
      </c>
      <c r="BW114" s="13">
        <v>0</v>
      </c>
      <c r="BX114" s="13">
        <v>0</v>
      </c>
      <c r="BY114" s="13">
        <v>0</v>
      </c>
      <c r="BZ114" s="13">
        <v>2</v>
      </c>
      <c r="CA114" s="13">
        <v>1438</v>
      </c>
      <c r="CB114" s="13">
        <v>0</v>
      </c>
      <c r="CC114" s="13">
        <v>4</v>
      </c>
      <c r="CD114" s="13">
        <v>127</v>
      </c>
      <c r="CE114" s="13">
        <v>0</v>
      </c>
      <c r="CF114" s="13">
        <v>4</v>
      </c>
      <c r="CG114" s="13">
        <v>0</v>
      </c>
      <c r="CH114" s="13">
        <v>0</v>
      </c>
      <c r="CI114" s="13">
        <v>5</v>
      </c>
      <c r="CJ114" s="13">
        <v>0</v>
      </c>
      <c r="CK114" s="13">
        <v>0</v>
      </c>
      <c r="CL114" s="13">
        <v>0</v>
      </c>
      <c r="CM114" s="13">
        <v>0</v>
      </c>
      <c r="CN114" s="13">
        <v>0</v>
      </c>
      <c r="CO114" s="13">
        <v>0</v>
      </c>
      <c r="CP114" s="13">
        <v>0</v>
      </c>
      <c r="CQ114" s="13">
        <v>86</v>
      </c>
      <c r="CR114" s="13">
        <v>1371</v>
      </c>
      <c r="CS114" s="13">
        <v>393</v>
      </c>
      <c r="CT114" s="13">
        <v>1223</v>
      </c>
      <c r="CU114" s="13">
        <v>852</v>
      </c>
      <c r="CV114" s="14">
        <v>8255</v>
      </c>
      <c r="CW114" s="13">
        <v>0</v>
      </c>
      <c r="CX114" s="13">
        <v>0</v>
      </c>
      <c r="CY114" s="13">
        <v>0</v>
      </c>
      <c r="CZ114" s="13">
        <v>0</v>
      </c>
      <c r="DA114" s="13">
        <v>0</v>
      </c>
      <c r="DB114" s="14">
        <v>0</v>
      </c>
      <c r="DC114" s="14">
        <v>8255</v>
      </c>
      <c r="DD114" s="13">
        <v>0</v>
      </c>
      <c r="DE114" s="13">
        <v>0</v>
      </c>
      <c r="DF114" s="13">
        <v>0</v>
      </c>
      <c r="DG114" s="13">
        <v>0</v>
      </c>
      <c r="DH114" s="13">
        <v>0</v>
      </c>
      <c r="DI114" s="13">
        <v>0</v>
      </c>
      <c r="DJ114" s="14">
        <v>0</v>
      </c>
      <c r="DK114" s="13">
        <v>0</v>
      </c>
      <c r="DL114" s="13">
        <v>134</v>
      </c>
      <c r="DM114" s="13">
        <v>0</v>
      </c>
      <c r="DN114" s="14">
        <v>8389</v>
      </c>
    </row>
    <row r="115" spans="1:118" x14ac:dyDescent="0.2">
      <c r="A115" s="10"/>
      <c r="B115" s="11" t="s">
        <v>545</v>
      </c>
      <c r="C115" s="12" t="s">
        <v>546</v>
      </c>
      <c r="D115" s="13">
        <v>196</v>
      </c>
      <c r="E115" s="13">
        <v>2</v>
      </c>
      <c r="F115" s="13">
        <v>4</v>
      </c>
      <c r="G115" s="13">
        <v>66</v>
      </c>
      <c r="H115" s="13">
        <v>0</v>
      </c>
      <c r="I115" s="13">
        <v>190</v>
      </c>
      <c r="J115" s="13">
        <v>0</v>
      </c>
      <c r="K115" s="13">
        <v>5</v>
      </c>
      <c r="L115" s="13">
        <v>6</v>
      </c>
      <c r="M115" s="13">
        <v>0</v>
      </c>
      <c r="N115" s="13">
        <v>0</v>
      </c>
      <c r="O115" s="13">
        <v>0</v>
      </c>
      <c r="P115" s="13">
        <v>191</v>
      </c>
      <c r="Q115" s="13">
        <v>11</v>
      </c>
      <c r="R115" s="13">
        <v>146</v>
      </c>
      <c r="S115" s="13">
        <v>34</v>
      </c>
      <c r="T115" s="13">
        <v>226</v>
      </c>
      <c r="U115" s="13">
        <v>48</v>
      </c>
      <c r="V115" s="13">
        <v>0</v>
      </c>
      <c r="W115" s="13">
        <v>93</v>
      </c>
      <c r="X115" s="13">
        <v>77</v>
      </c>
      <c r="Y115" s="13">
        <v>109</v>
      </c>
      <c r="Z115" s="13">
        <v>1</v>
      </c>
      <c r="AA115" s="13">
        <v>19</v>
      </c>
      <c r="AB115" s="13">
        <v>1</v>
      </c>
      <c r="AC115" s="13">
        <v>171</v>
      </c>
      <c r="AD115" s="13">
        <v>3</v>
      </c>
      <c r="AE115" s="13">
        <v>0</v>
      </c>
      <c r="AF115" s="13">
        <v>0</v>
      </c>
      <c r="AG115" s="13">
        <v>0</v>
      </c>
      <c r="AH115" s="13">
        <v>0</v>
      </c>
      <c r="AI115" s="13">
        <v>837</v>
      </c>
      <c r="AJ115" s="13">
        <v>160</v>
      </c>
      <c r="AK115" s="13">
        <v>78</v>
      </c>
      <c r="AL115" s="13">
        <v>13</v>
      </c>
      <c r="AM115" s="13">
        <v>67</v>
      </c>
      <c r="AN115" s="13">
        <v>105</v>
      </c>
      <c r="AO115" s="13">
        <v>516</v>
      </c>
      <c r="AP115" s="13">
        <v>65</v>
      </c>
      <c r="AQ115" s="13">
        <v>0</v>
      </c>
      <c r="AR115" s="13">
        <v>16</v>
      </c>
      <c r="AS115" s="13">
        <v>4</v>
      </c>
      <c r="AT115" s="13">
        <v>227</v>
      </c>
      <c r="AU115" s="13">
        <v>2</v>
      </c>
      <c r="AV115" s="13">
        <v>111</v>
      </c>
      <c r="AW115" s="13">
        <v>179</v>
      </c>
      <c r="AX115" s="13">
        <v>1</v>
      </c>
      <c r="AY115" s="13">
        <v>1</v>
      </c>
      <c r="AZ115" s="13">
        <v>0</v>
      </c>
      <c r="BA115" s="13">
        <v>19</v>
      </c>
      <c r="BB115" s="13">
        <v>0</v>
      </c>
      <c r="BC115" s="13">
        <v>99</v>
      </c>
      <c r="BD115" s="13">
        <v>1</v>
      </c>
      <c r="BE115" s="13">
        <v>3</v>
      </c>
      <c r="BF115" s="13">
        <v>23</v>
      </c>
      <c r="BG115" s="13">
        <v>51</v>
      </c>
      <c r="BH115" s="13">
        <v>65</v>
      </c>
      <c r="BI115" s="13">
        <v>11</v>
      </c>
      <c r="BJ115" s="13">
        <v>59</v>
      </c>
      <c r="BK115" s="13">
        <v>5</v>
      </c>
      <c r="BL115" s="13">
        <v>4</v>
      </c>
      <c r="BM115" s="13">
        <v>0</v>
      </c>
      <c r="BN115" s="13">
        <v>38</v>
      </c>
      <c r="BO115" s="13">
        <v>0</v>
      </c>
      <c r="BP115" s="13">
        <v>132</v>
      </c>
      <c r="BQ115" s="13">
        <v>121</v>
      </c>
      <c r="BR115" s="13">
        <v>0</v>
      </c>
      <c r="BS115" s="13">
        <v>27</v>
      </c>
      <c r="BT115" s="13">
        <v>11</v>
      </c>
      <c r="BU115" s="13">
        <v>146</v>
      </c>
      <c r="BV115" s="13">
        <v>1</v>
      </c>
      <c r="BW115" s="13">
        <v>2</v>
      </c>
      <c r="BX115" s="13">
        <v>47</v>
      </c>
      <c r="BY115" s="13">
        <v>176</v>
      </c>
      <c r="BZ115" s="13">
        <v>48</v>
      </c>
      <c r="CA115" s="13">
        <v>68</v>
      </c>
      <c r="CB115" s="13">
        <v>43</v>
      </c>
      <c r="CC115" s="13">
        <v>3</v>
      </c>
      <c r="CD115" s="13">
        <v>4</v>
      </c>
      <c r="CE115" s="13">
        <v>93</v>
      </c>
      <c r="CF115" s="13">
        <v>159</v>
      </c>
      <c r="CG115" s="13">
        <v>20</v>
      </c>
      <c r="CH115" s="13">
        <v>5</v>
      </c>
      <c r="CI115" s="13">
        <v>121</v>
      </c>
      <c r="CJ115" s="13">
        <v>2</v>
      </c>
      <c r="CK115" s="13">
        <v>31</v>
      </c>
      <c r="CL115" s="13">
        <v>163</v>
      </c>
      <c r="CM115" s="13">
        <v>172</v>
      </c>
      <c r="CN115" s="13">
        <v>267</v>
      </c>
      <c r="CO115" s="13">
        <v>0</v>
      </c>
      <c r="CP115" s="13">
        <v>0</v>
      </c>
      <c r="CQ115" s="13">
        <v>5</v>
      </c>
      <c r="CR115" s="13">
        <v>67</v>
      </c>
      <c r="CS115" s="13">
        <v>60</v>
      </c>
      <c r="CT115" s="13">
        <v>101</v>
      </c>
      <c r="CU115" s="13">
        <v>21</v>
      </c>
      <c r="CV115" s="14">
        <v>6475</v>
      </c>
      <c r="CW115" s="13">
        <v>0</v>
      </c>
      <c r="CX115" s="13">
        <v>0</v>
      </c>
      <c r="CY115" s="13">
        <v>0</v>
      </c>
      <c r="CZ115" s="13">
        <v>268</v>
      </c>
      <c r="DA115" s="13">
        <v>0</v>
      </c>
      <c r="DB115" s="14">
        <v>268</v>
      </c>
      <c r="DC115" s="14">
        <v>6743</v>
      </c>
      <c r="DD115" s="13">
        <v>0</v>
      </c>
      <c r="DE115" s="13">
        <v>0</v>
      </c>
      <c r="DF115" s="13">
        <v>0</v>
      </c>
      <c r="DG115" s="13">
        <v>0</v>
      </c>
      <c r="DH115" s="13">
        <v>0</v>
      </c>
      <c r="DI115" s="13">
        <v>0</v>
      </c>
      <c r="DJ115" s="14">
        <v>0</v>
      </c>
      <c r="DK115" s="13">
        <v>0</v>
      </c>
      <c r="DL115" s="13">
        <v>9</v>
      </c>
      <c r="DM115" s="13">
        <v>0</v>
      </c>
      <c r="DN115" s="14">
        <v>6752</v>
      </c>
    </row>
    <row r="116" spans="1:118" x14ac:dyDescent="0.2">
      <c r="A116" s="10"/>
      <c r="B116" s="11" t="s">
        <v>547</v>
      </c>
      <c r="C116" s="12" t="s">
        <v>548</v>
      </c>
      <c r="D116" s="13">
        <v>0</v>
      </c>
      <c r="E116" s="13">
        <v>1</v>
      </c>
      <c r="F116" s="13">
        <v>0</v>
      </c>
      <c r="G116" s="13">
        <v>0</v>
      </c>
      <c r="H116" s="13">
        <v>0</v>
      </c>
      <c r="I116" s="13">
        <v>1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0</v>
      </c>
      <c r="T116" s="13">
        <v>0</v>
      </c>
      <c r="U116" s="13">
        <v>0</v>
      </c>
      <c r="V116" s="13">
        <v>0</v>
      </c>
      <c r="W116" s="13">
        <v>0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  <c r="AD116" s="13">
        <v>0</v>
      </c>
      <c r="AE116" s="13">
        <v>1</v>
      </c>
      <c r="AF116" s="13">
        <v>0</v>
      </c>
      <c r="AG116" s="13">
        <v>0</v>
      </c>
      <c r="AH116" s="13">
        <v>0</v>
      </c>
      <c r="AI116" s="13">
        <v>0</v>
      </c>
      <c r="AJ116" s="13">
        <v>0</v>
      </c>
      <c r="AK116" s="13">
        <v>410</v>
      </c>
      <c r="AL116" s="13">
        <v>0</v>
      </c>
      <c r="AM116" s="13">
        <v>0</v>
      </c>
      <c r="AN116" s="13">
        <v>0</v>
      </c>
      <c r="AO116" s="13">
        <v>0</v>
      </c>
      <c r="AP116" s="13">
        <v>0</v>
      </c>
      <c r="AQ116" s="13">
        <v>0</v>
      </c>
      <c r="AR116" s="13">
        <v>0</v>
      </c>
      <c r="AS116" s="13">
        <v>0</v>
      </c>
      <c r="AT116" s="13">
        <v>0</v>
      </c>
      <c r="AU116" s="13">
        <v>0</v>
      </c>
      <c r="AV116" s="13">
        <v>179</v>
      </c>
      <c r="AW116" s="13">
        <v>0</v>
      </c>
      <c r="AX116" s="13">
        <v>0</v>
      </c>
      <c r="AY116" s="13">
        <v>0</v>
      </c>
      <c r="AZ116" s="13">
        <v>0</v>
      </c>
      <c r="BA116" s="13">
        <v>0</v>
      </c>
      <c r="BB116" s="13">
        <v>0</v>
      </c>
      <c r="BC116" s="13">
        <v>606</v>
      </c>
      <c r="BD116" s="13">
        <v>0</v>
      </c>
      <c r="BE116" s="13">
        <v>0</v>
      </c>
      <c r="BF116" s="13">
        <v>0</v>
      </c>
      <c r="BG116" s="13">
        <v>0</v>
      </c>
      <c r="BH116" s="13">
        <v>0</v>
      </c>
      <c r="BI116" s="13">
        <v>0</v>
      </c>
      <c r="BJ116" s="13">
        <v>0</v>
      </c>
      <c r="BK116" s="13">
        <v>1</v>
      </c>
      <c r="BL116" s="13">
        <v>0</v>
      </c>
      <c r="BM116" s="13">
        <v>0</v>
      </c>
      <c r="BN116" s="13">
        <v>0</v>
      </c>
      <c r="BO116" s="13">
        <v>0</v>
      </c>
      <c r="BP116" s="13">
        <v>0</v>
      </c>
      <c r="BQ116" s="13">
        <v>0</v>
      </c>
      <c r="BR116" s="13">
        <v>0</v>
      </c>
      <c r="BS116" s="13">
        <v>0</v>
      </c>
      <c r="BT116" s="13">
        <v>0</v>
      </c>
      <c r="BU116" s="13">
        <v>0</v>
      </c>
      <c r="BV116" s="13">
        <v>0</v>
      </c>
      <c r="BW116" s="13">
        <v>0</v>
      </c>
      <c r="BX116" s="13">
        <v>0</v>
      </c>
      <c r="BY116" s="13">
        <v>0</v>
      </c>
      <c r="BZ116" s="13">
        <v>0</v>
      </c>
      <c r="CA116" s="13">
        <v>85</v>
      </c>
      <c r="CB116" s="13">
        <v>1</v>
      </c>
      <c r="CC116" s="13">
        <v>0</v>
      </c>
      <c r="CD116" s="13">
        <v>0</v>
      </c>
      <c r="CE116" s="13">
        <v>0</v>
      </c>
      <c r="CF116" s="13">
        <v>1</v>
      </c>
      <c r="CG116" s="13">
        <v>0</v>
      </c>
      <c r="CH116" s="13">
        <v>0</v>
      </c>
      <c r="CI116" s="13">
        <v>0</v>
      </c>
      <c r="CJ116" s="13">
        <v>0</v>
      </c>
      <c r="CK116" s="13">
        <v>0</v>
      </c>
      <c r="CL116" s="13">
        <v>0</v>
      </c>
      <c r="CM116" s="13">
        <v>0</v>
      </c>
      <c r="CN116" s="13">
        <v>0</v>
      </c>
      <c r="CO116" s="13">
        <v>0</v>
      </c>
      <c r="CP116" s="13">
        <v>0</v>
      </c>
      <c r="CQ116" s="13">
        <v>2</v>
      </c>
      <c r="CR116" s="13">
        <v>15</v>
      </c>
      <c r="CS116" s="13">
        <v>6</v>
      </c>
      <c r="CT116" s="13">
        <v>3</v>
      </c>
      <c r="CU116" s="13">
        <v>0</v>
      </c>
      <c r="CV116" s="14">
        <v>1312</v>
      </c>
      <c r="CW116" s="13">
        <v>0</v>
      </c>
      <c r="CX116" s="13">
        <v>0</v>
      </c>
      <c r="CY116" s="13">
        <v>0</v>
      </c>
      <c r="CZ116" s="13">
        <v>0</v>
      </c>
      <c r="DA116" s="13">
        <v>0</v>
      </c>
      <c r="DB116" s="14">
        <v>0</v>
      </c>
      <c r="DC116" s="14">
        <v>1312</v>
      </c>
      <c r="DD116" s="13">
        <v>0</v>
      </c>
      <c r="DE116" s="13">
        <v>0</v>
      </c>
      <c r="DF116" s="13">
        <v>0</v>
      </c>
      <c r="DG116" s="13">
        <v>0</v>
      </c>
      <c r="DH116" s="13">
        <v>0</v>
      </c>
      <c r="DI116" s="13">
        <v>0</v>
      </c>
      <c r="DJ116" s="14">
        <v>0</v>
      </c>
      <c r="DK116" s="13">
        <v>0</v>
      </c>
      <c r="DL116" s="13">
        <v>0</v>
      </c>
      <c r="DM116" s="13">
        <v>0</v>
      </c>
      <c r="DN116" s="14">
        <v>1312</v>
      </c>
    </row>
    <row r="117" spans="1:118" ht="16" thickBot="1" x14ac:dyDescent="0.25">
      <c r="A117" s="10"/>
      <c r="B117" s="11" t="s">
        <v>549</v>
      </c>
      <c r="C117" s="12" t="s">
        <v>550</v>
      </c>
      <c r="D117" s="13">
        <v>1</v>
      </c>
      <c r="E117" s="13">
        <v>0</v>
      </c>
      <c r="F117" s="13">
        <v>1</v>
      </c>
      <c r="G117" s="13">
        <v>0</v>
      </c>
      <c r="H117" s="13">
        <v>0</v>
      </c>
      <c r="I117" s="13">
        <v>1</v>
      </c>
      <c r="J117" s="13">
        <v>0</v>
      </c>
      <c r="K117" s="13">
        <v>0</v>
      </c>
      <c r="L117" s="13">
        <v>0</v>
      </c>
      <c r="M117" s="13">
        <v>0</v>
      </c>
      <c r="N117" s="13">
        <v>0</v>
      </c>
      <c r="O117" s="13">
        <v>0</v>
      </c>
      <c r="P117" s="13">
        <v>6</v>
      </c>
      <c r="Q117" s="13">
        <v>0</v>
      </c>
      <c r="R117" s="13">
        <v>0</v>
      </c>
      <c r="S117" s="13">
        <v>1</v>
      </c>
      <c r="T117" s="13">
        <v>5</v>
      </c>
      <c r="U117" s="13">
        <v>0</v>
      </c>
      <c r="V117" s="13">
        <v>0</v>
      </c>
      <c r="W117" s="13">
        <v>0</v>
      </c>
      <c r="X117" s="13">
        <v>5</v>
      </c>
      <c r="Y117" s="13">
        <v>0</v>
      </c>
      <c r="Z117" s="13">
        <v>1</v>
      </c>
      <c r="AA117" s="13">
        <v>0</v>
      </c>
      <c r="AB117" s="13">
        <v>0</v>
      </c>
      <c r="AC117" s="13">
        <v>0</v>
      </c>
      <c r="AD117" s="13">
        <v>0</v>
      </c>
      <c r="AE117" s="13">
        <v>2</v>
      </c>
      <c r="AF117" s="13">
        <v>0</v>
      </c>
      <c r="AG117" s="13">
        <v>0</v>
      </c>
      <c r="AH117" s="13">
        <v>0</v>
      </c>
      <c r="AI117" s="13">
        <v>8</v>
      </c>
      <c r="AJ117" s="13">
        <v>0</v>
      </c>
      <c r="AK117" s="13">
        <v>10</v>
      </c>
      <c r="AL117" s="13">
        <v>0</v>
      </c>
      <c r="AM117" s="13">
        <v>6</v>
      </c>
      <c r="AN117" s="13">
        <v>0</v>
      </c>
      <c r="AO117" s="13">
        <v>2</v>
      </c>
      <c r="AP117" s="13">
        <v>3</v>
      </c>
      <c r="AQ117" s="13">
        <v>0</v>
      </c>
      <c r="AR117" s="13">
        <v>2</v>
      </c>
      <c r="AS117" s="13">
        <v>1</v>
      </c>
      <c r="AT117" s="13">
        <v>0</v>
      </c>
      <c r="AU117" s="13">
        <v>0</v>
      </c>
      <c r="AV117" s="13">
        <v>10</v>
      </c>
      <c r="AW117" s="13">
        <v>0</v>
      </c>
      <c r="AX117" s="13">
        <v>0</v>
      </c>
      <c r="AY117" s="13">
        <v>1</v>
      </c>
      <c r="AZ117" s="13">
        <v>0</v>
      </c>
      <c r="BA117" s="13">
        <v>0</v>
      </c>
      <c r="BB117" s="13">
        <v>1</v>
      </c>
      <c r="BC117" s="13">
        <v>1</v>
      </c>
      <c r="BD117" s="13">
        <v>0</v>
      </c>
      <c r="BE117" s="13">
        <v>0</v>
      </c>
      <c r="BF117" s="13">
        <v>1</v>
      </c>
      <c r="BG117" s="13">
        <v>0</v>
      </c>
      <c r="BH117" s="13">
        <v>10</v>
      </c>
      <c r="BI117" s="13">
        <v>0</v>
      </c>
      <c r="BJ117" s="13">
        <v>0</v>
      </c>
      <c r="BK117" s="13">
        <v>2</v>
      </c>
      <c r="BL117" s="13">
        <v>2</v>
      </c>
      <c r="BM117" s="13">
        <v>0</v>
      </c>
      <c r="BN117" s="13">
        <v>0</v>
      </c>
      <c r="BO117" s="13">
        <v>0</v>
      </c>
      <c r="BP117" s="13">
        <v>1</v>
      </c>
      <c r="BQ117" s="13">
        <v>1</v>
      </c>
      <c r="BR117" s="13">
        <v>0</v>
      </c>
      <c r="BS117" s="13">
        <v>3</v>
      </c>
      <c r="BT117" s="13">
        <v>2</v>
      </c>
      <c r="BU117" s="13">
        <v>7</v>
      </c>
      <c r="BV117" s="13">
        <v>0</v>
      </c>
      <c r="BW117" s="13">
        <v>0</v>
      </c>
      <c r="BX117" s="13">
        <v>0</v>
      </c>
      <c r="BY117" s="13">
        <v>1</v>
      </c>
      <c r="BZ117" s="13">
        <v>2</v>
      </c>
      <c r="CA117" s="13">
        <v>21</v>
      </c>
      <c r="CB117" s="13">
        <v>0</v>
      </c>
      <c r="CC117" s="13">
        <v>2</v>
      </c>
      <c r="CD117" s="13">
        <v>5</v>
      </c>
      <c r="CE117" s="13">
        <v>1</v>
      </c>
      <c r="CF117" s="13">
        <v>0</v>
      </c>
      <c r="CG117" s="13">
        <v>0</v>
      </c>
      <c r="CH117" s="13">
        <v>0</v>
      </c>
      <c r="CI117" s="13">
        <v>4</v>
      </c>
      <c r="CJ117" s="13">
        <v>0</v>
      </c>
      <c r="CK117" s="13">
        <v>0</v>
      </c>
      <c r="CL117" s="13">
        <v>1</v>
      </c>
      <c r="CM117" s="13">
        <v>0</v>
      </c>
      <c r="CN117" s="13">
        <v>0</v>
      </c>
      <c r="CO117" s="13">
        <v>0</v>
      </c>
      <c r="CP117" s="13">
        <v>0</v>
      </c>
      <c r="CQ117" s="13">
        <v>7</v>
      </c>
      <c r="CR117" s="13">
        <v>12</v>
      </c>
      <c r="CS117" s="13">
        <v>3</v>
      </c>
      <c r="CT117" s="13">
        <v>5</v>
      </c>
      <c r="CU117" s="13">
        <v>0</v>
      </c>
      <c r="CV117" s="14">
        <v>161</v>
      </c>
      <c r="CW117" s="13">
        <v>0</v>
      </c>
      <c r="CX117" s="13">
        <v>0</v>
      </c>
      <c r="CY117" s="13">
        <v>0</v>
      </c>
      <c r="CZ117" s="13">
        <v>0</v>
      </c>
      <c r="DA117" s="13">
        <v>0</v>
      </c>
      <c r="DB117" s="14">
        <v>0</v>
      </c>
      <c r="DC117" s="14">
        <v>161</v>
      </c>
      <c r="DD117" s="13">
        <v>0</v>
      </c>
      <c r="DE117" s="13">
        <v>0</v>
      </c>
      <c r="DF117" s="13">
        <v>0</v>
      </c>
      <c r="DG117" s="13">
        <v>0</v>
      </c>
      <c r="DH117" s="13">
        <v>0</v>
      </c>
      <c r="DI117" s="13">
        <v>0</v>
      </c>
      <c r="DJ117" s="14">
        <v>0</v>
      </c>
      <c r="DK117" s="13">
        <v>0</v>
      </c>
      <c r="DL117" s="13">
        <v>0</v>
      </c>
      <c r="DM117" s="13">
        <v>0</v>
      </c>
      <c r="DN117" s="14">
        <v>161</v>
      </c>
    </row>
    <row r="118" spans="1:118" ht="17" thickTop="1" thickBot="1" x14ac:dyDescent="0.25">
      <c r="A118" s="61" t="s">
        <v>551</v>
      </c>
      <c r="B118" s="61"/>
      <c r="C118" s="61"/>
      <c r="D118" s="8">
        <v>888</v>
      </c>
      <c r="E118" s="8">
        <v>493</v>
      </c>
      <c r="F118" s="8">
        <v>318</v>
      </c>
      <c r="G118" s="8">
        <v>333</v>
      </c>
      <c r="H118" s="8">
        <v>502</v>
      </c>
      <c r="I118" s="8">
        <v>906</v>
      </c>
      <c r="J118" s="8">
        <v>250</v>
      </c>
      <c r="K118" s="8">
        <v>533</v>
      </c>
      <c r="L118" s="8">
        <v>392</v>
      </c>
      <c r="M118" s="8">
        <v>268</v>
      </c>
      <c r="N118" s="8">
        <v>358</v>
      </c>
      <c r="O118" s="8">
        <v>619</v>
      </c>
      <c r="P118" s="8">
        <v>2206</v>
      </c>
      <c r="Q118" s="8">
        <v>607</v>
      </c>
      <c r="R118" s="8">
        <v>124</v>
      </c>
      <c r="S118" s="8">
        <v>629</v>
      </c>
      <c r="T118" s="8">
        <v>837</v>
      </c>
      <c r="U118" s="8">
        <v>708</v>
      </c>
      <c r="V118" s="8">
        <v>636</v>
      </c>
      <c r="W118" s="8">
        <v>599</v>
      </c>
      <c r="X118" s="8">
        <v>900</v>
      </c>
      <c r="Y118" s="8">
        <v>416</v>
      </c>
      <c r="Z118" s="8">
        <v>1170</v>
      </c>
      <c r="AA118" s="8">
        <v>1252</v>
      </c>
      <c r="AB118" s="8">
        <v>1301</v>
      </c>
      <c r="AC118" s="8">
        <v>748</v>
      </c>
      <c r="AD118" s="8">
        <v>178</v>
      </c>
      <c r="AE118" s="8">
        <v>1696</v>
      </c>
      <c r="AF118" s="8">
        <v>4</v>
      </c>
      <c r="AG118" s="8">
        <v>2</v>
      </c>
      <c r="AH118" s="8">
        <v>1315</v>
      </c>
      <c r="AI118" s="8">
        <v>2617</v>
      </c>
      <c r="AJ118" s="8">
        <v>1116</v>
      </c>
      <c r="AK118" s="8">
        <v>2464</v>
      </c>
      <c r="AL118" s="8">
        <v>1313</v>
      </c>
      <c r="AM118" s="8">
        <v>1222</v>
      </c>
      <c r="AN118" s="8">
        <v>89</v>
      </c>
      <c r="AO118" s="8">
        <v>567</v>
      </c>
      <c r="AP118" s="8">
        <v>1887</v>
      </c>
      <c r="AQ118" s="8">
        <v>559</v>
      </c>
      <c r="AR118" s="8">
        <v>1375</v>
      </c>
      <c r="AS118" s="8">
        <v>655</v>
      </c>
      <c r="AT118" s="8">
        <v>1360</v>
      </c>
      <c r="AU118" s="8">
        <v>668</v>
      </c>
      <c r="AV118" s="8">
        <v>1591</v>
      </c>
      <c r="AW118" s="8">
        <v>649</v>
      </c>
      <c r="AX118" s="8">
        <v>390</v>
      </c>
      <c r="AY118" s="8">
        <v>659</v>
      </c>
      <c r="AZ118" s="8">
        <v>822</v>
      </c>
      <c r="BA118" s="8">
        <v>1013</v>
      </c>
      <c r="BB118" s="8">
        <v>476</v>
      </c>
      <c r="BC118" s="8">
        <v>869</v>
      </c>
      <c r="BD118" s="8">
        <v>289</v>
      </c>
      <c r="BE118" s="8">
        <v>710</v>
      </c>
      <c r="BF118" s="8">
        <v>600</v>
      </c>
      <c r="BG118" s="8">
        <v>431</v>
      </c>
      <c r="BH118" s="8">
        <v>730</v>
      </c>
      <c r="BI118" s="8">
        <v>741</v>
      </c>
      <c r="BJ118" s="8">
        <v>480</v>
      </c>
      <c r="BK118" s="8">
        <v>1817</v>
      </c>
      <c r="BL118" s="8">
        <v>1246</v>
      </c>
      <c r="BM118" s="8">
        <v>175</v>
      </c>
      <c r="BN118" s="8">
        <v>1654</v>
      </c>
      <c r="BO118" s="8">
        <v>585</v>
      </c>
      <c r="BP118" s="8">
        <v>1488</v>
      </c>
      <c r="BQ118" s="8">
        <v>813</v>
      </c>
      <c r="BR118" s="8">
        <v>686</v>
      </c>
      <c r="BS118" s="8">
        <v>907</v>
      </c>
      <c r="BT118" s="8">
        <v>542</v>
      </c>
      <c r="BU118" s="8">
        <v>1758</v>
      </c>
      <c r="BV118" s="8">
        <v>296</v>
      </c>
      <c r="BW118" s="8">
        <v>534</v>
      </c>
      <c r="BX118" s="8">
        <v>511</v>
      </c>
      <c r="BY118" s="8">
        <v>1100</v>
      </c>
      <c r="BZ118" s="8">
        <v>1142</v>
      </c>
      <c r="CA118" s="8">
        <v>1533</v>
      </c>
      <c r="CB118" s="8">
        <v>631</v>
      </c>
      <c r="CC118" s="8">
        <v>979</v>
      </c>
      <c r="CD118" s="8">
        <v>997</v>
      </c>
      <c r="CE118" s="8">
        <v>561</v>
      </c>
      <c r="CF118" s="8">
        <v>855</v>
      </c>
      <c r="CG118" s="8">
        <v>956</v>
      </c>
      <c r="CH118" s="8">
        <v>617</v>
      </c>
      <c r="CI118" s="8" t="s">
        <v>115</v>
      </c>
      <c r="CJ118" s="8">
        <v>579</v>
      </c>
      <c r="CK118" s="8">
        <v>867</v>
      </c>
      <c r="CL118" s="8">
        <v>887</v>
      </c>
      <c r="CM118" s="8">
        <v>630</v>
      </c>
      <c r="CN118" s="8">
        <v>451</v>
      </c>
      <c r="CO118" s="8">
        <v>826</v>
      </c>
      <c r="CP118" s="8">
        <v>221</v>
      </c>
      <c r="CQ118" s="8">
        <v>1029</v>
      </c>
      <c r="CR118" s="8">
        <v>1002</v>
      </c>
      <c r="CS118" s="8">
        <v>713</v>
      </c>
      <c r="CT118" s="8">
        <v>745</v>
      </c>
      <c r="CU118" s="8">
        <v>810</v>
      </c>
      <c r="CV118" s="9">
        <v>80000</v>
      </c>
      <c r="CW118" s="8">
        <v>60</v>
      </c>
      <c r="CX118" s="8">
        <v>257</v>
      </c>
      <c r="CY118" s="8">
        <v>24</v>
      </c>
      <c r="CZ118" s="8">
        <v>643</v>
      </c>
      <c r="DA118" s="8">
        <v>14</v>
      </c>
      <c r="DB118" s="9">
        <v>998</v>
      </c>
      <c r="DC118" s="9">
        <v>80998</v>
      </c>
      <c r="DD118" s="8">
        <v>0</v>
      </c>
      <c r="DE118" s="8">
        <v>0</v>
      </c>
      <c r="DF118" s="8">
        <v>1</v>
      </c>
      <c r="DG118" s="8">
        <v>7</v>
      </c>
      <c r="DH118" s="8">
        <v>13</v>
      </c>
      <c r="DI118" s="8">
        <v>184</v>
      </c>
      <c r="DJ118" s="9">
        <v>205</v>
      </c>
      <c r="DK118" s="8">
        <v>11</v>
      </c>
      <c r="DL118" s="8">
        <v>23</v>
      </c>
      <c r="DM118" s="8">
        <v>0</v>
      </c>
      <c r="DN118" s="9">
        <v>81237</v>
      </c>
    </row>
    <row r="119" spans="1:118" ht="16" thickTop="1" x14ac:dyDescent="0.2">
      <c r="A119" s="10"/>
      <c r="B119" s="11" t="s">
        <v>552</v>
      </c>
      <c r="C119" s="12" t="s">
        <v>553</v>
      </c>
      <c r="D119" s="13">
        <v>637</v>
      </c>
      <c r="E119" s="13">
        <v>325</v>
      </c>
      <c r="F119" s="13">
        <v>226</v>
      </c>
      <c r="G119" s="13">
        <v>277</v>
      </c>
      <c r="H119" s="13">
        <v>362</v>
      </c>
      <c r="I119" s="13">
        <v>390</v>
      </c>
      <c r="J119" s="13">
        <v>153</v>
      </c>
      <c r="K119" s="13">
        <v>56</v>
      </c>
      <c r="L119" s="13">
        <v>268</v>
      </c>
      <c r="M119" s="13">
        <v>137</v>
      </c>
      <c r="N119" s="13">
        <v>207</v>
      </c>
      <c r="O119" s="13">
        <v>384</v>
      </c>
      <c r="P119" s="13">
        <v>953</v>
      </c>
      <c r="Q119" s="13">
        <v>341</v>
      </c>
      <c r="R119" s="13">
        <v>118</v>
      </c>
      <c r="S119" s="13">
        <v>534</v>
      </c>
      <c r="T119" s="13">
        <v>627</v>
      </c>
      <c r="U119" s="13">
        <v>623</v>
      </c>
      <c r="V119" s="13">
        <v>546</v>
      </c>
      <c r="W119" s="13">
        <v>144</v>
      </c>
      <c r="X119" s="13">
        <v>517</v>
      </c>
      <c r="Y119" s="13">
        <v>413</v>
      </c>
      <c r="Z119" s="13">
        <v>996</v>
      </c>
      <c r="AA119" s="13">
        <v>630</v>
      </c>
      <c r="AB119" s="13">
        <v>682</v>
      </c>
      <c r="AC119" s="13">
        <v>594</v>
      </c>
      <c r="AD119" s="13">
        <v>54</v>
      </c>
      <c r="AE119" s="13">
        <v>1073</v>
      </c>
      <c r="AF119" s="13">
        <v>0</v>
      </c>
      <c r="AG119" s="13">
        <v>0</v>
      </c>
      <c r="AH119" s="13">
        <v>805</v>
      </c>
      <c r="AI119" s="13">
        <v>1455</v>
      </c>
      <c r="AJ119" s="13">
        <v>926</v>
      </c>
      <c r="AK119" s="13">
        <v>1663</v>
      </c>
      <c r="AL119" s="13">
        <v>677</v>
      </c>
      <c r="AM119" s="13">
        <v>653</v>
      </c>
      <c r="AN119" s="13">
        <v>43</v>
      </c>
      <c r="AO119" s="13">
        <v>281</v>
      </c>
      <c r="AP119" s="13">
        <v>998</v>
      </c>
      <c r="AQ119" s="13">
        <v>311</v>
      </c>
      <c r="AR119" s="13">
        <v>1105</v>
      </c>
      <c r="AS119" s="13">
        <v>523</v>
      </c>
      <c r="AT119" s="13">
        <v>803</v>
      </c>
      <c r="AU119" s="13">
        <v>533</v>
      </c>
      <c r="AV119" s="13">
        <v>914</v>
      </c>
      <c r="AW119" s="13">
        <v>395</v>
      </c>
      <c r="AX119" s="13">
        <v>349</v>
      </c>
      <c r="AY119" s="13">
        <v>553</v>
      </c>
      <c r="AZ119" s="13">
        <v>801</v>
      </c>
      <c r="BA119" s="13">
        <v>743</v>
      </c>
      <c r="BB119" s="13">
        <v>326</v>
      </c>
      <c r="BC119" s="13">
        <v>466</v>
      </c>
      <c r="BD119" s="13">
        <v>87</v>
      </c>
      <c r="BE119" s="13">
        <v>481</v>
      </c>
      <c r="BF119" s="13">
        <v>152</v>
      </c>
      <c r="BG119" s="13">
        <v>317</v>
      </c>
      <c r="BH119" s="13">
        <v>303</v>
      </c>
      <c r="BI119" s="13">
        <v>311</v>
      </c>
      <c r="BJ119" s="13">
        <v>15</v>
      </c>
      <c r="BK119" s="13">
        <v>863</v>
      </c>
      <c r="BL119" s="13">
        <v>860</v>
      </c>
      <c r="BM119" s="13">
        <v>143</v>
      </c>
      <c r="BN119" s="13">
        <v>1077</v>
      </c>
      <c r="BO119" s="13">
        <v>322</v>
      </c>
      <c r="BP119" s="13">
        <v>1085</v>
      </c>
      <c r="BQ119" s="13">
        <v>660</v>
      </c>
      <c r="BR119" s="13">
        <v>355</v>
      </c>
      <c r="BS119" s="13">
        <v>536</v>
      </c>
      <c r="BT119" s="13">
        <v>345</v>
      </c>
      <c r="BU119" s="13">
        <v>645</v>
      </c>
      <c r="BV119" s="13">
        <v>94</v>
      </c>
      <c r="BW119" s="13">
        <v>229</v>
      </c>
      <c r="BX119" s="13">
        <v>383</v>
      </c>
      <c r="BY119" s="13">
        <v>587</v>
      </c>
      <c r="BZ119" s="13">
        <v>438</v>
      </c>
      <c r="CA119" s="13">
        <v>600</v>
      </c>
      <c r="CB119" s="13">
        <v>400</v>
      </c>
      <c r="CC119" s="13">
        <v>595</v>
      </c>
      <c r="CD119" s="13">
        <v>533</v>
      </c>
      <c r="CE119" s="13">
        <v>187</v>
      </c>
      <c r="CF119" s="13">
        <v>408</v>
      </c>
      <c r="CG119" s="13">
        <v>746</v>
      </c>
      <c r="CH119" s="13">
        <v>485</v>
      </c>
      <c r="CI119" s="13">
        <v>751</v>
      </c>
      <c r="CJ119" s="13">
        <v>423</v>
      </c>
      <c r="CK119" s="13">
        <v>639</v>
      </c>
      <c r="CL119" s="13">
        <v>543</v>
      </c>
      <c r="CM119" s="13">
        <v>362</v>
      </c>
      <c r="CN119" s="13">
        <v>316</v>
      </c>
      <c r="CO119" s="13">
        <v>643</v>
      </c>
      <c r="CP119" s="13">
        <v>70</v>
      </c>
      <c r="CQ119" s="13">
        <v>535</v>
      </c>
      <c r="CR119" s="13">
        <v>289</v>
      </c>
      <c r="CS119" s="13">
        <v>353</v>
      </c>
      <c r="CT119" s="13">
        <v>378</v>
      </c>
      <c r="CU119" s="13">
        <v>242</v>
      </c>
      <c r="CV119" s="14">
        <v>47376</v>
      </c>
      <c r="CW119" s="13">
        <v>18</v>
      </c>
      <c r="CX119" s="13">
        <v>16</v>
      </c>
      <c r="CY119" s="13">
        <v>0</v>
      </c>
      <c r="CZ119" s="13">
        <v>232</v>
      </c>
      <c r="DA119" s="13">
        <v>11</v>
      </c>
      <c r="DB119" s="14">
        <v>277</v>
      </c>
      <c r="DC119" s="14">
        <v>47653</v>
      </c>
      <c r="DD119" s="13">
        <v>0</v>
      </c>
      <c r="DE119" s="13">
        <v>0</v>
      </c>
      <c r="DF119" s="13">
        <v>1</v>
      </c>
      <c r="DG119" s="13">
        <v>4</v>
      </c>
      <c r="DH119" s="13">
        <v>3</v>
      </c>
      <c r="DI119" s="13">
        <v>78</v>
      </c>
      <c r="DJ119" s="14">
        <v>86</v>
      </c>
      <c r="DK119" s="13">
        <v>8</v>
      </c>
      <c r="DL119" s="13">
        <v>22</v>
      </c>
      <c r="DM119" s="13">
        <v>0</v>
      </c>
      <c r="DN119" s="14">
        <v>47769</v>
      </c>
    </row>
    <row r="120" spans="1:118" ht="16" thickBot="1" x14ac:dyDescent="0.25">
      <c r="A120" s="10"/>
      <c r="B120" s="11" t="s">
        <v>554</v>
      </c>
      <c r="C120" s="12" t="s">
        <v>555</v>
      </c>
      <c r="D120" s="13">
        <v>251</v>
      </c>
      <c r="E120" s="13">
        <v>168</v>
      </c>
      <c r="F120" s="13">
        <v>92</v>
      </c>
      <c r="G120" s="13">
        <v>56</v>
      </c>
      <c r="H120" s="13">
        <v>140</v>
      </c>
      <c r="I120" s="13">
        <v>516</v>
      </c>
      <c r="J120" s="13">
        <v>97</v>
      </c>
      <c r="K120" s="13">
        <v>477</v>
      </c>
      <c r="L120" s="13">
        <v>124</v>
      </c>
      <c r="M120" s="13">
        <v>131</v>
      </c>
      <c r="N120" s="13">
        <v>151</v>
      </c>
      <c r="O120" s="13">
        <v>235</v>
      </c>
      <c r="P120" s="13">
        <v>1253</v>
      </c>
      <c r="Q120" s="13">
        <v>266</v>
      </c>
      <c r="R120" s="13">
        <v>6</v>
      </c>
      <c r="S120" s="13">
        <v>95</v>
      </c>
      <c r="T120" s="13">
        <v>210</v>
      </c>
      <c r="U120" s="13">
        <v>85</v>
      </c>
      <c r="V120" s="13">
        <v>90</v>
      </c>
      <c r="W120" s="13">
        <v>455</v>
      </c>
      <c r="X120" s="13">
        <v>383</v>
      </c>
      <c r="Y120" s="13">
        <v>3</v>
      </c>
      <c r="Z120" s="13">
        <v>174</v>
      </c>
      <c r="AA120" s="13">
        <v>622</v>
      </c>
      <c r="AB120" s="13">
        <v>619</v>
      </c>
      <c r="AC120" s="13">
        <v>154</v>
      </c>
      <c r="AD120" s="13">
        <v>124</v>
      </c>
      <c r="AE120" s="13">
        <v>623</v>
      </c>
      <c r="AF120" s="13">
        <v>4</v>
      </c>
      <c r="AG120" s="13">
        <v>2</v>
      </c>
      <c r="AH120" s="13">
        <v>510</v>
      </c>
      <c r="AI120" s="13">
        <v>1162</v>
      </c>
      <c r="AJ120" s="13">
        <v>190</v>
      </c>
      <c r="AK120" s="13">
        <v>801</v>
      </c>
      <c r="AL120" s="13">
        <v>636</v>
      </c>
      <c r="AM120" s="13">
        <v>569</v>
      </c>
      <c r="AN120" s="13">
        <v>46</v>
      </c>
      <c r="AO120" s="13">
        <v>286</v>
      </c>
      <c r="AP120" s="13">
        <v>889</v>
      </c>
      <c r="AQ120" s="13">
        <v>248</v>
      </c>
      <c r="AR120" s="13">
        <v>270</v>
      </c>
      <c r="AS120" s="13">
        <v>132</v>
      </c>
      <c r="AT120" s="13">
        <v>557</v>
      </c>
      <c r="AU120" s="13">
        <v>135</v>
      </c>
      <c r="AV120" s="13">
        <v>677</v>
      </c>
      <c r="AW120" s="13">
        <v>254</v>
      </c>
      <c r="AX120" s="13">
        <v>41</v>
      </c>
      <c r="AY120" s="13">
        <v>106</v>
      </c>
      <c r="AZ120" s="13">
        <v>21</v>
      </c>
      <c r="BA120" s="13">
        <v>270</v>
      </c>
      <c r="BB120" s="13">
        <v>150</v>
      </c>
      <c r="BC120" s="13">
        <v>403</v>
      </c>
      <c r="BD120" s="13">
        <v>202</v>
      </c>
      <c r="BE120" s="13">
        <v>229</v>
      </c>
      <c r="BF120" s="13">
        <v>448</v>
      </c>
      <c r="BG120" s="13">
        <v>114</v>
      </c>
      <c r="BH120" s="13">
        <v>427</v>
      </c>
      <c r="BI120" s="13">
        <v>430</v>
      </c>
      <c r="BJ120" s="13">
        <v>465</v>
      </c>
      <c r="BK120" s="13">
        <v>954</v>
      </c>
      <c r="BL120" s="13">
        <v>386</v>
      </c>
      <c r="BM120" s="13">
        <v>32</v>
      </c>
      <c r="BN120" s="13">
        <v>577</v>
      </c>
      <c r="BO120" s="13">
        <v>263</v>
      </c>
      <c r="BP120" s="13">
        <v>403</v>
      </c>
      <c r="BQ120" s="13">
        <v>153</v>
      </c>
      <c r="BR120" s="13">
        <v>331</v>
      </c>
      <c r="BS120" s="13">
        <v>371</v>
      </c>
      <c r="BT120" s="13">
        <v>197</v>
      </c>
      <c r="BU120" s="13">
        <v>1113</v>
      </c>
      <c r="BV120" s="13">
        <v>202</v>
      </c>
      <c r="BW120" s="13">
        <v>305</v>
      </c>
      <c r="BX120" s="13">
        <v>128</v>
      </c>
      <c r="BY120" s="13">
        <v>513</v>
      </c>
      <c r="BZ120" s="13">
        <v>704</v>
      </c>
      <c r="CA120" s="13">
        <v>933</v>
      </c>
      <c r="CB120" s="13">
        <v>231</v>
      </c>
      <c r="CC120" s="13">
        <v>384</v>
      </c>
      <c r="CD120" s="13">
        <v>464</v>
      </c>
      <c r="CE120" s="13">
        <v>374</v>
      </c>
      <c r="CF120" s="13">
        <v>447</v>
      </c>
      <c r="CG120" s="13">
        <v>210</v>
      </c>
      <c r="CH120" s="13">
        <v>132</v>
      </c>
      <c r="CI120" s="13">
        <v>576</v>
      </c>
      <c r="CJ120" s="13">
        <v>156</v>
      </c>
      <c r="CK120" s="13">
        <v>228</v>
      </c>
      <c r="CL120" s="13">
        <v>344</v>
      </c>
      <c r="CM120" s="13">
        <v>268</v>
      </c>
      <c r="CN120" s="13">
        <v>135</v>
      </c>
      <c r="CO120" s="13">
        <v>183</v>
      </c>
      <c r="CP120" s="13">
        <v>151</v>
      </c>
      <c r="CQ120" s="13">
        <v>494</v>
      </c>
      <c r="CR120" s="13">
        <v>713</v>
      </c>
      <c r="CS120" s="13">
        <v>360</v>
      </c>
      <c r="CT120" s="13">
        <v>367</v>
      </c>
      <c r="CU120" s="13">
        <v>568</v>
      </c>
      <c r="CV120" s="14">
        <v>32624</v>
      </c>
      <c r="CW120" s="13">
        <v>42</v>
      </c>
      <c r="CX120" s="13">
        <v>241</v>
      </c>
      <c r="CY120" s="13">
        <v>24</v>
      </c>
      <c r="CZ120" s="13">
        <v>411</v>
      </c>
      <c r="DA120" s="13">
        <v>3</v>
      </c>
      <c r="DB120" s="14">
        <v>721</v>
      </c>
      <c r="DC120" s="14">
        <v>33345</v>
      </c>
      <c r="DD120" s="13">
        <v>0</v>
      </c>
      <c r="DE120" s="13">
        <v>0</v>
      </c>
      <c r="DF120" s="13">
        <v>0</v>
      </c>
      <c r="DG120" s="13">
        <v>3</v>
      </c>
      <c r="DH120" s="13">
        <v>10</v>
      </c>
      <c r="DI120" s="13">
        <v>106</v>
      </c>
      <c r="DJ120" s="14">
        <v>119</v>
      </c>
      <c r="DK120" s="13">
        <v>3</v>
      </c>
      <c r="DL120" s="13">
        <v>1</v>
      </c>
      <c r="DM120" s="13">
        <v>0</v>
      </c>
      <c r="DN120" s="14">
        <v>33468</v>
      </c>
    </row>
    <row r="121" spans="1:118" ht="17" thickTop="1" thickBot="1" x14ac:dyDescent="0.25">
      <c r="A121" s="61" t="s">
        <v>556</v>
      </c>
      <c r="B121" s="61"/>
      <c r="C121" s="61"/>
      <c r="D121" s="8">
        <v>31651</v>
      </c>
      <c r="E121" s="8">
        <v>18546</v>
      </c>
      <c r="F121" s="8">
        <v>9156</v>
      </c>
      <c r="G121" s="8">
        <v>6050</v>
      </c>
      <c r="H121" s="8">
        <v>6778</v>
      </c>
      <c r="I121" s="8">
        <v>30970</v>
      </c>
      <c r="J121" s="8">
        <v>19743</v>
      </c>
      <c r="K121" s="8">
        <v>6126</v>
      </c>
      <c r="L121" s="8">
        <v>7452</v>
      </c>
      <c r="M121" s="8">
        <v>12810</v>
      </c>
      <c r="N121" s="8">
        <v>13705</v>
      </c>
      <c r="O121" s="8">
        <v>15119</v>
      </c>
      <c r="P121" s="8">
        <v>88249</v>
      </c>
      <c r="Q121" s="8">
        <v>35338</v>
      </c>
      <c r="R121" s="8">
        <v>6394</v>
      </c>
      <c r="S121" s="8">
        <v>14129</v>
      </c>
      <c r="T121" s="8">
        <v>24979</v>
      </c>
      <c r="U121" s="8">
        <v>10058</v>
      </c>
      <c r="V121" s="8">
        <v>19892</v>
      </c>
      <c r="W121" s="8">
        <v>16282</v>
      </c>
      <c r="X121" s="8">
        <v>39756</v>
      </c>
      <c r="Y121" s="8">
        <v>5664</v>
      </c>
      <c r="Z121" s="8">
        <v>14641</v>
      </c>
      <c r="AA121" s="8">
        <v>27478</v>
      </c>
      <c r="AB121" s="8">
        <v>25130</v>
      </c>
      <c r="AC121" s="8">
        <v>21646</v>
      </c>
      <c r="AD121" s="8">
        <v>29637</v>
      </c>
      <c r="AE121" s="8">
        <v>65636</v>
      </c>
      <c r="AF121" s="8">
        <v>9316</v>
      </c>
      <c r="AG121" s="8">
        <v>7809</v>
      </c>
      <c r="AH121" s="8">
        <v>32397</v>
      </c>
      <c r="AI121" s="8">
        <v>51492</v>
      </c>
      <c r="AJ121" s="8">
        <v>10718</v>
      </c>
      <c r="AK121" s="8">
        <v>65451</v>
      </c>
      <c r="AL121" s="8">
        <v>37215</v>
      </c>
      <c r="AM121" s="8">
        <v>91422</v>
      </c>
      <c r="AN121" s="8">
        <v>8634</v>
      </c>
      <c r="AO121" s="8">
        <v>35642</v>
      </c>
      <c r="AP121" s="8">
        <v>62053</v>
      </c>
      <c r="AQ121" s="8">
        <v>13089</v>
      </c>
      <c r="AR121" s="8">
        <v>22156</v>
      </c>
      <c r="AS121" s="8">
        <v>17228</v>
      </c>
      <c r="AT121" s="8">
        <v>30393</v>
      </c>
      <c r="AU121" s="8">
        <v>12045</v>
      </c>
      <c r="AV121" s="8">
        <v>121574</v>
      </c>
      <c r="AW121" s="8">
        <v>31922</v>
      </c>
      <c r="AX121" s="8">
        <v>7412</v>
      </c>
      <c r="AY121" s="8">
        <v>13839</v>
      </c>
      <c r="AZ121" s="8">
        <v>8174</v>
      </c>
      <c r="BA121" s="8">
        <v>66865</v>
      </c>
      <c r="BB121" s="8">
        <v>23562</v>
      </c>
      <c r="BC121" s="8">
        <v>25855</v>
      </c>
      <c r="BD121" s="8">
        <v>8160</v>
      </c>
      <c r="BE121" s="8">
        <v>29432</v>
      </c>
      <c r="BF121" s="8">
        <v>37011</v>
      </c>
      <c r="BG121" s="8">
        <v>11809</v>
      </c>
      <c r="BH121" s="8">
        <v>71781</v>
      </c>
      <c r="BI121" s="8">
        <v>57229</v>
      </c>
      <c r="BJ121" s="8">
        <v>8466</v>
      </c>
      <c r="BK121" s="8">
        <v>178303</v>
      </c>
      <c r="BL121" s="8">
        <v>35266</v>
      </c>
      <c r="BM121" s="8">
        <v>15008</v>
      </c>
      <c r="BN121" s="8">
        <v>66261</v>
      </c>
      <c r="BO121" s="8">
        <v>25400</v>
      </c>
      <c r="BP121" s="8">
        <v>35952</v>
      </c>
      <c r="BQ121" s="8">
        <v>8749</v>
      </c>
      <c r="BR121" s="8">
        <v>22087</v>
      </c>
      <c r="BS121" s="8">
        <v>42523</v>
      </c>
      <c r="BT121" s="8">
        <v>31319</v>
      </c>
      <c r="BU121" s="8">
        <v>114765</v>
      </c>
      <c r="BV121" s="8">
        <v>8993</v>
      </c>
      <c r="BW121" s="8">
        <v>18298</v>
      </c>
      <c r="BX121" s="8">
        <v>37691</v>
      </c>
      <c r="BY121" s="8">
        <v>16748</v>
      </c>
      <c r="BZ121" s="8">
        <v>51058</v>
      </c>
      <c r="CA121" s="8">
        <v>86504</v>
      </c>
      <c r="CB121" s="8">
        <v>26821</v>
      </c>
      <c r="CC121" s="8">
        <v>44899</v>
      </c>
      <c r="CD121" s="8">
        <v>80434</v>
      </c>
      <c r="CE121" s="8">
        <v>21856</v>
      </c>
      <c r="CF121" s="8">
        <v>29116</v>
      </c>
      <c r="CG121" s="8">
        <v>24406</v>
      </c>
      <c r="CH121" s="8">
        <v>15239</v>
      </c>
      <c r="CI121" s="8" t="s">
        <v>115</v>
      </c>
      <c r="CJ121" s="8">
        <v>27016</v>
      </c>
      <c r="CK121" s="8">
        <v>61560</v>
      </c>
      <c r="CL121" s="8">
        <v>19889</v>
      </c>
      <c r="CM121" s="8">
        <v>20971</v>
      </c>
      <c r="CN121" s="8">
        <v>18396</v>
      </c>
      <c r="CO121" s="8">
        <v>11347</v>
      </c>
      <c r="CP121" s="8">
        <v>7939</v>
      </c>
      <c r="CQ121" s="8">
        <v>70168</v>
      </c>
      <c r="CR121" s="8">
        <v>61632</v>
      </c>
      <c r="CS121" s="8">
        <v>50892</v>
      </c>
      <c r="CT121" s="8">
        <v>45377</v>
      </c>
      <c r="CU121" s="8">
        <v>36354</v>
      </c>
      <c r="CV121" s="9">
        <v>3145737</v>
      </c>
      <c r="CW121" s="8">
        <v>18699</v>
      </c>
      <c r="CX121" s="8">
        <v>14786</v>
      </c>
      <c r="CY121" s="8">
        <v>13021</v>
      </c>
      <c r="CZ121" s="8">
        <v>43116</v>
      </c>
      <c r="DA121" s="8">
        <v>14944</v>
      </c>
      <c r="DB121" s="9">
        <v>104566</v>
      </c>
      <c r="DC121" s="9">
        <v>3250303</v>
      </c>
      <c r="DD121" s="8">
        <v>8</v>
      </c>
      <c r="DE121" s="8">
        <v>273</v>
      </c>
      <c r="DF121" s="8">
        <v>566</v>
      </c>
      <c r="DG121" s="8">
        <v>2</v>
      </c>
      <c r="DH121" s="8">
        <v>15113</v>
      </c>
      <c r="DI121" s="8">
        <v>4288</v>
      </c>
      <c r="DJ121" s="9">
        <v>20250</v>
      </c>
      <c r="DK121" s="8">
        <v>830</v>
      </c>
      <c r="DL121" s="8">
        <v>3496</v>
      </c>
      <c r="DM121" s="8">
        <v>0</v>
      </c>
      <c r="DN121" s="9">
        <v>3274879</v>
      </c>
    </row>
    <row r="122" spans="1:118" ht="16" thickTop="1" x14ac:dyDescent="0.2">
      <c r="A122" s="10"/>
      <c r="B122" s="11" t="s">
        <v>557</v>
      </c>
      <c r="C122" s="12" t="s">
        <v>558</v>
      </c>
      <c r="D122" s="13">
        <v>13356</v>
      </c>
      <c r="E122" s="13">
        <v>10499</v>
      </c>
      <c r="F122" s="13">
        <v>6033</v>
      </c>
      <c r="G122" s="13">
        <v>3993</v>
      </c>
      <c r="H122" s="13">
        <v>3756</v>
      </c>
      <c r="I122" s="13">
        <v>16856</v>
      </c>
      <c r="J122" s="13">
        <v>6725</v>
      </c>
      <c r="K122" s="13">
        <v>5739</v>
      </c>
      <c r="L122" s="13">
        <v>4153</v>
      </c>
      <c r="M122" s="13">
        <v>8107</v>
      </c>
      <c r="N122" s="13">
        <v>7225</v>
      </c>
      <c r="O122" s="13">
        <v>6072</v>
      </c>
      <c r="P122" s="13">
        <v>29478</v>
      </c>
      <c r="Q122" s="13">
        <v>11272</v>
      </c>
      <c r="R122" s="13">
        <v>3180</v>
      </c>
      <c r="S122" s="13">
        <v>5705</v>
      </c>
      <c r="T122" s="13">
        <v>14577</v>
      </c>
      <c r="U122" s="13">
        <v>5795</v>
      </c>
      <c r="V122" s="13">
        <v>4756</v>
      </c>
      <c r="W122" s="13">
        <v>9771</v>
      </c>
      <c r="X122" s="13">
        <v>8653</v>
      </c>
      <c r="Y122" s="13">
        <v>2335</v>
      </c>
      <c r="Z122" s="13">
        <v>6856</v>
      </c>
      <c r="AA122" s="13">
        <v>11995</v>
      </c>
      <c r="AB122" s="13">
        <v>8191</v>
      </c>
      <c r="AC122" s="13">
        <v>14050</v>
      </c>
      <c r="AD122" s="13">
        <v>7303</v>
      </c>
      <c r="AE122" s="13">
        <v>11532</v>
      </c>
      <c r="AF122" s="13">
        <v>5456</v>
      </c>
      <c r="AG122" s="13">
        <v>3263</v>
      </c>
      <c r="AH122" s="13">
        <v>10967</v>
      </c>
      <c r="AI122" s="13">
        <v>24465</v>
      </c>
      <c r="AJ122" s="13">
        <v>5445</v>
      </c>
      <c r="AK122" s="13">
        <v>23553</v>
      </c>
      <c r="AL122" s="13">
        <v>19912</v>
      </c>
      <c r="AM122" s="13">
        <v>15260</v>
      </c>
      <c r="AN122" s="13">
        <v>4305</v>
      </c>
      <c r="AO122" s="13">
        <v>9761</v>
      </c>
      <c r="AP122" s="13">
        <v>20865</v>
      </c>
      <c r="AQ122" s="13">
        <v>5817</v>
      </c>
      <c r="AR122" s="13">
        <v>9888</v>
      </c>
      <c r="AS122" s="13">
        <v>4816</v>
      </c>
      <c r="AT122" s="13">
        <v>15392</v>
      </c>
      <c r="AU122" s="13">
        <v>5412</v>
      </c>
      <c r="AV122" s="13">
        <v>17656</v>
      </c>
      <c r="AW122" s="13">
        <v>13565</v>
      </c>
      <c r="AX122" s="13">
        <v>3364</v>
      </c>
      <c r="AY122" s="13">
        <v>5319</v>
      </c>
      <c r="AZ122" s="13">
        <v>1960</v>
      </c>
      <c r="BA122" s="13">
        <v>9366</v>
      </c>
      <c r="BB122" s="13">
        <v>8016</v>
      </c>
      <c r="BC122" s="13">
        <v>11485</v>
      </c>
      <c r="BD122" s="13">
        <v>3744</v>
      </c>
      <c r="BE122" s="13">
        <v>5066</v>
      </c>
      <c r="BF122" s="13">
        <v>14249</v>
      </c>
      <c r="BG122" s="13">
        <v>4516</v>
      </c>
      <c r="BH122" s="13">
        <v>8693</v>
      </c>
      <c r="BI122" s="13">
        <v>23023</v>
      </c>
      <c r="BJ122" s="13">
        <v>4382</v>
      </c>
      <c r="BK122" s="13">
        <v>36354</v>
      </c>
      <c r="BL122" s="13">
        <v>14566</v>
      </c>
      <c r="BM122" s="13">
        <v>5126</v>
      </c>
      <c r="BN122" s="13">
        <v>25656</v>
      </c>
      <c r="BO122" s="13">
        <v>11822</v>
      </c>
      <c r="BP122" s="13">
        <v>14661</v>
      </c>
      <c r="BQ122" s="13">
        <v>5959</v>
      </c>
      <c r="BR122" s="13">
        <v>9853</v>
      </c>
      <c r="BS122" s="13">
        <v>23693</v>
      </c>
      <c r="BT122" s="13">
        <v>16537</v>
      </c>
      <c r="BU122" s="13">
        <v>27475</v>
      </c>
      <c r="BV122" s="13">
        <v>5796</v>
      </c>
      <c r="BW122" s="13">
        <v>11339</v>
      </c>
      <c r="BX122" s="13">
        <v>9578</v>
      </c>
      <c r="BY122" s="13">
        <v>8623</v>
      </c>
      <c r="BZ122" s="13">
        <v>13437</v>
      </c>
      <c r="CA122" s="13">
        <v>21883</v>
      </c>
      <c r="CB122" s="13">
        <v>21384</v>
      </c>
      <c r="CC122" s="13">
        <v>27677</v>
      </c>
      <c r="CD122" s="13">
        <v>25666</v>
      </c>
      <c r="CE122" s="13">
        <v>7809</v>
      </c>
      <c r="CF122" s="13">
        <v>11952</v>
      </c>
      <c r="CG122" s="13">
        <v>9709</v>
      </c>
      <c r="CH122" s="13">
        <v>6475</v>
      </c>
      <c r="CI122" s="13">
        <v>17435</v>
      </c>
      <c r="CJ122" s="13">
        <v>10055</v>
      </c>
      <c r="CK122" s="13">
        <v>9092</v>
      </c>
      <c r="CL122" s="13">
        <v>8145</v>
      </c>
      <c r="CM122" s="13">
        <v>6745</v>
      </c>
      <c r="CN122" s="13">
        <v>8231</v>
      </c>
      <c r="CO122" s="13">
        <v>6053</v>
      </c>
      <c r="CP122" s="13">
        <v>3546</v>
      </c>
      <c r="CQ122" s="13">
        <v>23068</v>
      </c>
      <c r="CR122" s="13">
        <v>19321</v>
      </c>
      <c r="CS122" s="13">
        <v>27662</v>
      </c>
      <c r="CT122" s="13">
        <v>19453</v>
      </c>
      <c r="CU122" s="13">
        <v>20977</v>
      </c>
      <c r="CV122" s="14">
        <v>1119757</v>
      </c>
      <c r="CW122" s="13">
        <v>6711</v>
      </c>
      <c r="CX122" s="13">
        <v>6023</v>
      </c>
      <c r="CY122" s="13">
        <v>8561</v>
      </c>
      <c r="CZ122" s="13">
        <v>17201</v>
      </c>
      <c r="DA122" s="13">
        <v>9149</v>
      </c>
      <c r="DB122" s="14">
        <v>47645</v>
      </c>
      <c r="DC122" s="14">
        <v>1167402</v>
      </c>
      <c r="DD122" s="13">
        <v>0</v>
      </c>
      <c r="DE122" s="13">
        <v>15</v>
      </c>
      <c r="DF122" s="13">
        <v>277</v>
      </c>
      <c r="DG122" s="13">
        <v>0</v>
      </c>
      <c r="DH122" s="13">
        <v>9</v>
      </c>
      <c r="DI122" s="13">
        <v>1</v>
      </c>
      <c r="DJ122" s="14">
        <v>302</v>
      </c>
      <c r="DK122" s="13">
        <v>811</v>
      </c>
      <c r="DL122" s="13">
        <v>3458</v>
      </c>
      <c r="DM122" s="13">
        <v>0</v>
      </c>
      <c r="DN122" s="14">
        <v>1171973</v>
      </c>
    </row>
    <row r="123" spans="1:118" x14ac:dyDescent="0.2">
      <c r="A123" s="10"/>
      <c r="B123" s="11" t="s">
        <v>559</v>
      </c>
      <c r="C123" s="12" t="s">
        <v>560</v>
      </c>
      <c r="D123" s="13">
        <v>11224</v>
      </c>
      <c r="E123" s="13">
        <v>4951</v>
      </c>
      <c r="F123" s="13">
        <v>177</v>
      </c>
      <c r="G123" s="13">
        <v>58</v>
      </c>
      <c r="H123" s="13">
        <v>61</v>
      </c>
      <c r="I123" s="13">
        <v>9365</v>
      </c>
      <c r="J123" s="13">
        <v>8329</v>
      </c>
      <c r="K123" s="13">
        <v>321</v>
      </c>
      <c r="L123" s="13">
        <v>86</v>
      </c>
      <c r="M123" s="13">
        <v>96</v>
      </c>
      <c r="N123" s="13">
        <v>327</v>
      </c>
      <c r="O123" s="13">
        <v>3511</v>
      </c>
      <c r="P123" s="13">
        <v>20931</v>
      </c>
      <c r="Q123" s="13">
        <v>17785</v>
      </c>
      <c r="R123" s="13">
        <v>870</v>
      </c>
      <c r="S123" s="13">
        <v>124</v>
      </c>
      <c r="T123" s="13">
        <v>565</v>
      </c>
      <c r="U123" s="13">
        <v>1678</v>
      </c>
      <c r="V123" s="13">
        <v>991</v>
      </c>
      <c r="W123" s="13">
        <v>262</v>
      </c>
      <c r="X123" s="13">
        <v>26533</v>
      </c>
      <c r="Y123" s="13">
        <v>26</v>
      </c>
      <c r="Z123" s="13">
        <v>258</v>
      </c>
      <c r="AA123" s="13">
        <v>3183</v>
      </c>
      <c r="AB123" s="13">
        <v>13938</v>
      </c>
      <c r="AC123" s="13">
        <v>563</v>
      </c>
      <c r="AD123" s="13">
        <v>8064</v>
      </c>
      <c r="AE123" s="13">
        <v>49954</v>
      </c>
      <c r="AF123" s="13">
        <v>45</v>
      </c>
      <c r="AG123" s="13">
        <v>50</v>
      </c>
      <c r="AH123" s="13">
        <v>13296</v>
      </c>
      <c r="AI123" s="13">
        <v>13330</v>
      </c>
      <c r="AJ123" s="13">
        <v>2584</v>
      </c>
      <c r="AK123" s="13">
        <v>29087</v>
      </c>
      <c r="AL123" s="13">
        <v>6709</v>
      </c>
      <c r="AM123" s="13">
        <v>63549</v>
      </c>
      <c r="AN123" s="13">
        <v>328</v>
      </c>
      <c r="AO123" s="13">
        <v>12358</v>
      </c>
      <c r="AP123" s="13">
        <v>19572</v>
      </c>
      <c r="AQ123" s="13">
        <v>1223</v>
      </c>
      <c r="AR123" s="13">
        <v>1318</v>
      </c>
      <c r="AS123" s="13">
        <v>4163</v>
      </c>
      <c r="AT123" s="13">
        <v>4168</v>
      </c>
      <c r="AU123" s="13">
        <v>3818</v>
      </c>
      <c r="AV123" s="13">
        <v>83182</v>
      </c>
      <c r="AW123" s="13">
        <v>11830</v>
      </c>
      <c r="AX123" s="13">
        <v>188</v>
      </c>
      <c r="AY123" s="13">
        <v>5816</v>
      </c>
      <c r="AZ123" s="13">
        <v>3167</v>
      </c>
      <c r="BA123" s="13">
        <v>53667</v>
      </c>
      <c r="BB123" s="13">
        <v>14274</v>
      </c>
      <c r="BC123" s="13">
        <v>8636</v>
      </c>
      <c r="BD123" s="13">
        <v>869</v>
      </c>
      <c r="BE123" s="13">
        <v>17204</v>
      </c>
      <c r="BF123" s="13">
        <v>11340</v>
      </c>
      <c r="BG123" s="13">
        <v>2467</v>
      </c>
      <c r="BH123" s="13">
        <v>53507</v>
      </c>
      <c r="BI123" s="13">
        <v>12871</v>
      </c>
      <c r="BJ123" s="13">
        <v>77</v>
      </c>
      <c r="BK123" s="13">
        <v>110785</v>
      </c>
      <c r="BL123" s="13">
        <v>14321</v>
      </c>
      <c r="BM123" s="13">
        <v>7384</v>
      </c>
      <c r="BN123" s="13">
        <v>30271</v>
      </c>
      <c r="BO123" s="13">
        <v>1275</v>
      </c>
      <c r="BP123" s="13">
        <v>10333</v>
      </c>
      <c r="BQ123" s="13">
        <v>151</v>
      </c>
      <c r="BR123" s="13">
        <v>770</v>
      </c>
      <c r="BS123" s="13">
        <v>10322</v>
      </c>
      <c r="BT123" s="13">
        <v>4581</v>
      </c>
      <c r="BU123" s="13">
        <v>36751</v>
      </c>
      <c r="BV123" s="13">
        <v>1075</v>
      </c>
      <c r="BW123" s="13">
        <v>330</v>
      </c>
      <c r="BX123" s="13">
        <v>17355</v>
      </c>
      <c r="BY123" s="13">
        <v>3241</v>
      </c>
      <c r="BZ123" s="13">
        <v>25461</v>
      </c>
      <c r="CA123" s="13">
        <v>36841</v>
      </c>
      <c r="CB123" s="13">
        <v>849</v>
      </c>
      <c r="CC123" s="13">
        <v>2666</v>
      </c>
      <c r="CD123" s="13">
        <v>28373</v>
      </c>
      <c r="CE123" s="13">
        <v>814</v>
      </c>
      <c r="CF123" s="13">
        <v>451</v>
      </c>
      <c r="CG123" s="13">
        <v>4519</v>
      </c>
      <c r="CH123" s="13">
        <v>3345</v>
      </c>
      <c r="CI123" s="13">
        <v>3553</v>
      </c>
      <c r="CJ123" s="13">
        <v>11066</v>
      </c>
      <c r="CK123" s="13">
        <v>49598</v>
      </c>
      <c r="CL123" s="13">
        <v>706</v>
      </c>
      <c r="CM123" s="13">
        <v>57</v>
      </c>
      <c r="CN123" s="13">
        <v>2329</v>
      </c>
      <c r="CO123" s="13">
        <v>71</v>
      </c>
      <c r="CP123" s="13">
        <v>1445</v>
      </c>
      <c r="CQ123" s="13">
        <v>5941</v>
      </c>
      <c r="CR123" s="13">
        <v>36176</v>
      </c>
      <c r="CS123" s="13">
        <v>12245</v>
      </c>
      <c r="CT123" s="13">
        <v>11503</v>
      </c>
      <c r="CU123" s="13">
        <v>2621</v>
      </c>
      <c r="CV123" s="14">
        <v>1128499</v>
      </c>
      <c r="CW123" s="13">
        <v>3557</v>
      </c>
      <c r="CX123" s="13">
        <v>4087</v>
      </c>
      <c r="CY123" s="13">
        <v>3683</v>
      </c>
      <c r="CZ123" s="13">
        <v>148</v>
      </c>
      <c r="DA123" s="13">
        <v>66</v>
      </c>
      <c r="DB123" s="14">
        <v>11541</v>
      </c>
      <c r="DC123" s="14">
        <v>1140040</v>
      </c>
      <c r="DD123" s="13">
        <v>7</v>
      </c>
      <c r="DE123" s="13">
        <v>256</v>
      </c>
      <c r="DF123" s="13">
        <v>19</v>
      </c>
      <c r="DG123" s="13">
        <v>2</v>
      </c>
      <c r="DH123" s="13">
        <v>34</v>
      </c>
      <c r="DI123" s="13">
        <v>37</v>
      </c>
      <c r="DJ123" s="14">
        <v>355</v>
      </c>
      <c r="DK123" s="13">
        <v>2</v>
      </c>
      <c r="DL123" s="13">
        <v>15</v>
      </c>
      <c r="DM123" s="13">
        <v>0</v>
      </c>
      <c r="DN123" s="14">
        <v>1140412</v>
      </c>
    </row>
    <row r="124" spans="1:118" x14ac:dyDescent="0.2">
      <c r="A124" s="10"/>
      <c r="B124" s="11" t="s">
        <v>561</v>
      </c>
      <c r="C124" s="12" t="s">
        <v>562</v>
      </c>
      <c r="D124" s="13">
        <v>6441</v>
      </c>
      <c r="E124" s="13">
        <v>2661</v>
      </c>
      <c r="F124" s="13">
        <v>2614</v>
      </c>
      <c r="G124" s="13">
        <v>1909</v>
      </c>
      <c r="H124" s="13">
        <v>2836</v>
      </c>
      <c r="I124" s="13">
        <v>3159</v>
      </c>
      <c r="J124" s="13">
        <v>4485</v>
      </c>
      <c r="K124" s="13">
        <v>6</v>
      </c>
      <c r="L124" s="13">
        <v>3113</v>
      </c>
      <c r="M124" s="13">
        <v>3916</v>
      </c>
      <c r="N124" s="13">
        <v>6041</v>
      </c>
      <c r="O124" s="13">
        <v>5290</v>
      </c>
      <c r="P124" s="13">
        <v>25806</v>
      </c>
      <c r="Q124" s="13">
        <v>5320</v>
      </c>
      <c r="R124" s="13">
        <v>2291</v>
      </c>
      <c r="S124" s="13">
        <v>8085</v>
      </c>
      <c r="T124" s="13">
        <v>9219</v>
      </c>
      <c r="U124" s="13">
        <v>2333</v>
      </c>
      <c r="V124" s="13">
        <v>14028</v>
      </c>
      <c r="W124" s="13">
        <v>4983</v>
      </c>
      <c r="X124" s="13">
        <v>4118</v>
      </c>
      <c r="Y124" s="13">
        <v>3272</v>
      </c>
      <c r="Z124" s="13">
        <v>7391</v>
      </c>
      <c r="AA124" s="13">
        <v>11544</v>
      </c>
      <c r="AB124" s="13">
        <v>2676</v>
      </c>
      <c r="AC124" s="13">
        <v>6884</v>
      </c>
      <c r="AD124" s="13">
        <v>14156</v>
      </c>
      <c r="AE124" s="13">
        <v>2540</v>
      </c>
      <c r="AF124" s="13">
        <v>3746</v>
      </c>
      <c r="AG124" s="13">
        <v>4328</v>
      </c>
      <c r="AH124" s="13">
        <v>7242</v>
      </c>
      <c r="AI124" s="13">
        <v>6306</v>
      </c>
      <c r="AJ124" s="13">
        <v>2596</v>
      </c>
      <c r="AK124" s="13">
        <v>6966</v>
      </c>
      <c r="AL124" s="13">
        <v>4419</v>
      </c>
      <c r="AM124" s="13">
        <v>9503</v>
      </c>
      <c r="AN124" s="13">
        <v>3965</v>
      </c>
      <c r="AO124" s="13">
        <v>13135</v>
      </c>
      <c r="AP124" s="13">
        <v>9604</v>
      </c>
      <c r="AQ124" s="13">
        <v>5942</v>
      </c>
      <c r="AR124" s="13">
        <v>10748</v>
      </c>
      <c r="AS124" s="13">
        <v>7953</v>
      </c>
      <c r="AT124" s="13">
        <v>9865</v>
      </c>
      <c r="AU124" s="13">
        <v>2673</v>
      </c>
      <c r="AV124" s="13">
        <v>18199</v>
      </c>
      <c r="AW124" s="13">
        <v>6034</v>
      </c>
      <c r="AX124" s="13">
        <v>3799</v>
      </c>
      <c r="AY124" s="13">
        <v>2580</v>
      </c>
      <c r="AZ124" s="13">
        <v>3012</v>
      </c>
      <c r="BA124" s="13">
        <v>2512</v>
      </c>
      <c r="BB124" s="13">
        <v>1062</v>
      </c>
      <c r="BC124" s="13">
        <v>4561</v>
      </c>
      <c r="BD124" s="13">
        <v>3519</v>
      </c>
      <c r="BE124" s="13">
        <v>7039</v>
      </c>
      <c r="BF124" s="13">
        <v>8780</v>
      </c>
      <c r="BG124" s="13">
        <v>4761</v>
      </c>
      <c r="BH124" s="13">
        <v>9102</v>
      </c>
      <c r="BI124" s="13">
        <v>20613</v>
      </c>
      <c r="BJ124" s="13">
        <v>3953</v>
      </c>
      <c r="BK124" s="13">
        <v>20060</v>
      </c>
      <c r="BL124" s="13">
        <v>5485</v>
      </c>
      <c r="BM124" s="13">
        <v>2432</v>
      </c>
      <c r="BN124" s="13">
        <v>8516</v>
      </c>
      <c r="BO124" s="13">
        <v>7850</v>
      </c>
      <c r="BP124" s="13">
        <v>9621</v>
      </c>
      <c r="BQ124" s="13">
        <v>2213</v>
      </c>
      <c r="BR124" s="13">
        <v>11371</v>
      </c>
      <c r="BS124" s="13">
        <v>5183</v>
      </c>
      <c r="BT124" s="13">
        <v>9809</v>
      </c>
      <c r="BU124" s="13">
        <v>36897</v>
      </c>
      <c r="BV124" s="13">
        <v>2033</v>
      </c>
      <c r="BW124" s="13">
        <v>6367</v>
      </c>
      <c r="BX124" s="13">
        <v>10514</v>
      </c>
      <c r="BY124" s="13">
        <v>4413</v>
      </c>
      <c r="BZ124" s="13">
        <v>11620</v>
      </c>
      <c r="CA124" s="13">
        <v>11783</v>
      </c>
      <c r="CB124" s="13">
        <v>3129</v>
      </c>
      <c r="CC124" s="13">
        <v>13427</v>
      </c>
      <c r="CD124" s="13">
        <v>24030</v>
      </c>
      <c r="CE124" s="13">
        <v>13085</v>
      </c>
      <c r="CF124" s="13">
        <v>15008</v>
      </c>
      <c r="CG124" s="13">
        <v>9650</v>
      </c>
      <c r="CH124" s="13">
        <v>5283</v>
      </c>
      <c r="CI124" s="13">
        <v>1587</v>
      </c>
      <c r="CJ124" s="13">
        <v>5572</v>
      </c>
      <c r="CK124" s="13">
        <v>2583</v>
      </c>
      <c r="CL124" s="13">
        <v>9217</v>
      </c>
      <c r="CM124" s="13">
        <v>13109</v>
      </c>
      <c r="CN124" s="13">
        <v>7539</v>
      </c>
      <c r="CO124" s="13">
        <v>5176</v>
      </c>
      <c r="CP124" s="13">
        <v>2847</v>
      </c>
      <c r="CQ124" s="13">
        <v>37472</v>
      </c>
      <c r="CR124" s="13">
        <v>3256</v>
      </c>
      <c r="CS124" s="13">
        <v>9910</v>
      </c>
      <c r="CT124" s="13">
        <v>11438</v>
      </c>
      <c r="CU124" s="13">
        <v>11652</v>
      </c>
      <c r="CV124" s="14">
        <v>746771</v>
      </c>
      <c r="CW124" s="13">
        <v>8416</v>
      </c>
      <c r="CX124" s="13">
        <v>4612</v>
      </c>
      <c r="CY124" s="13">
        <v>776</v>
      </c>
      <c r="CZ124" s="13">
        <v>23781</v>
      </c>
      <c r="DA124" s="13">
        <v>5729</v>
      </c>
      <c r="DB124" s="14">
        <v>43314</v>
      </c>
      <c r="DC124" s="14">
        <v>790085</v>
      </c>
      <c r="DD124" s="13">
        <v>0</v>
      </c>
      <c r="DE124" s="13">
        <v>0</v>
      </c>
      <c r="DF124" s="13">
        <v>270</v>
      </c>
      <c r="DG124" s="13">
        <v>0</v>
      </c>
      <c r="DH124" s="13">
        <v>14819</v>
      </c>
      <c r="DI124" s="13">
        <v>4222</v>
      </c>
      <c r="DJ124" s="14">
        <v>19311</v>
      </c>
      <c r="DK124" s="13">
        <v>0</v>
      </c>
      <c r="DL124" s="13">
        <v>1</v>
      </c>
      <c r="DM124" s="13">
        <v>0</v>
      </c>
      <c r="DN124" s="14">
        <v>809397</v>
      </c>
    </row>
    <row r="125" spans="1:118" x14ac:dyDescent="0.2">
      <c r="A125" s="10"/>
      <c r="B125" s="11" t="s">
        <v>563</v>
      </c>
      <c r="C125" s="12" t="s">
        <v>564</v>
      </c>
      <c r="D125" s="13">
        <v>510</v>
      </c>
      <c r="E125" s="13">
        <v>418</v>
      </c>
      <c r="F125" s="13">
        <v>304</v>
      </c>
      <c r="G125" s="13">
        <v>75</v>
      </c>
      <c r="H125" s="13">
        <v>111</v>
      </c>
      <c r="I125" s="13">
        <v>1017</v>
      </c>
      <c r="J125" s="13">
        <v>175</v>
      </c>
      <c r="K125" s="13">
        <v>53</v>
      </c>
      <c r="L125" s="13">
        <v>96</v>
      </c>
      <c r="M125" s="13">
        <v>688</v>
      </c>
      <c r="N125" s="13">
        <v>97</v>
      </c>
      <c r="O125" s="13">
        <v>212</v>
      </c>
      <c r="P125" s="13">
        <v>4463</v>
      </c>
      <c r="Q125" s="13">
        <v>644</v>
      </c>
      <c r="R125" s="13">
        <v>50</v>
      </c>
      <c r="S125" s="13">
        <v>209</v>
      </c>
      <c r="T125" s="13">
        <v>604</v>
      </c>
      <c r="U125" s="13">
        <v>252</v>
      </c>
      <c r="V125" s="13">
        <v>108</v>
      </c>
      <c r="W125" s="13">
        <v>1261</v>
      </c>
      <c r="X125" s="13">
        <v>448</v>
      </c>
      <c r="Y125" s="13">
        <v>31</v>
      </c>
      <c r="Z125" s="13">
        <v>124</v>
      </c>
      <c r="AA125" s="13">
        <v>749</v>
      </c>
      <c r="AB125" s="13">
        <v>290</v>
      </c>
      <c r="AC125" s="13">
        <v>137</v>
      </c>
      <c r="AD125" s="13">
        <v>105</v>
      </c>
      <c r="AE125" s="13">
        <v>1603</v>
      </c>
      <c r="AF125" s="13">
        <v>63</v>
      </c>
      <c r="AG125" s="13">
        <v>167</v>
      </c>
      <c r="AH125" s="13">
        <v>762</v>
      </c>
      <c r="AI125" s="13">
        <v>6678</v>
      </c>
      <c r="AJ125" s="13">
        <v>87</v>
      </c>
      <c r="AK125" s="13">
        <v>4470</v>
      </c>
      <c r="AL125" s="13">
        <v>2171</v>
      </c>
      <c r="AM125" s="13">
        <v>3096</v>
      </c>
      <c r="AN125" s="13">
        <v>33</v>
      </c>
      <c r="AO125" s="13">
        <v>381</v>
      </c>
      <c r="AP125" s="13">
        <v>3558</v>
      </c>
      <c r="AQ125" s="13">
        <v>97</v>
      </c>
      <c r="AR125" s="13">
        <v>193</v>
      </c>
      <c r="AS125" s="13">
        <v>289</v>
      </c>
      <c r="AT125" s="13">
        <v>951</v>
      </c>
      <c r="AU125" s="13">
        <v>133</v>
      </c>
      <c r="AV125" s="13">
        <v>2518</v>
      </c>
      <c r="AW125" s="13">
        <v>489</v>
      </c>
      <c r="AX125" s="13">
        <v>58</v>
      </c>
      <c r="AY125" s="13">
        <v>120</v>
      </c>
      <c r="AZ125" s="13">
        <v>31</v>
      </c>
      <c r="BA125" s="13">
        <v>1313</v>
      </c>
      <c r="BB125" s="13">
        <v>205</v>
      </c>
      <c r="BC125" s="13">
        <v>1157</v>
      </c>
      <c r="BD125" s="13">
        <v>28</v>
      </c>
      <c r="BE125" s="13">
        <v>122</v>
      </c>
      <c r="BF125" s="13">
        <v>2635</v>
      </c>
      <c r="BG125" s="13">
        <v>64</v>
      </c>
      <c r="BH125" s="13">
        <v>471</v>
      </c>
      <c r="BI125" s="13">
        <v>720</v>
      </c>
      <c r="BJ125" s="13">
        <v>48</v>
      </c>
      <c r="BK125" s="13">
        <v>5823</v>
      </c>
      <c r="BL125" s="13">
        <v>842</v>
      </c>
      <c r="BM125" s="13">
        <v>57</v>
      </c>
      <c r="BN125" s="13">
        <v>1743</v>
      </c>
      <c r="BO125" s="13">
        <v>1330</v>
      </c>
      <c r="BP125" s="13">
        <v>712</v>
      </c>
      <c r="BQ125" s="13">
        <v>420</v>
      </c>
      <c r="BR125" s="13">
        <v>85</v>
      </c>
      <c r="BS125" s="13">
        <v>3321</v>
      </c>
      <c r="BT125" s="13">
        <v>383</v>
      </c>
      <c r="BU125" s="13">
        <v>7375</v>
      </c>
      <c r="BV125" s="13">
        <v>88</v>
      </c>
      <c r="BW125" s="13">
        <v>254</v>
      </c>
      <c r="BX125" s="13">
        <v>238</v>
      </c>
      <c r="BY125" s="13">
        <v>406</v>
      </c>
      <c r="BZ125" s="13">
        <v>498</v>
      </c>
      <c r="CA125" s="13">
        <v>4855</v>
      </c>
      <c r="CB125" s="13">
        <v>1317</v>
      </c>
      <c r="CC125" s="13">
        <v>1091</v>
      </c>
      <c r="CD125" s="13">
        <v>2305</v>
      </c>
      <c r="CE125" s="13">
        <v>133</v>
      </c>
      <c r="CF125" s="13">
        <v>1026</v>
      </c>
      <c r="CG125" s="13">
        <v>518</v>
      </c>
      <c r="CH125" s="13">
        <v>127</v>
      </c>
      <c r="CI125" s="13">
        <v>667</v>
      </c>
      <c r="CJ125" s="13">
        <v>298</v>
      </c>
      <c r="CK125" s="13">
        <v>283</v>
      </c>
      <c r="CL125" s="13">
        <v>1064</v>
      </c>
      <c r="CM125" s="13">
        <v>691</v>
      </c>
      <c r="CN125" s="13">
        <v>295</v>
      </c>
      <c r="CO125" s="13">
        <v>45</v>
      </c>
      <c r="CP125" s="13">
        <v>101</v>
      </c>
      <c r="CQ125" s="13">
        <v>3599</v>
      </c>
      <c r="CR125" s="13">
        <v>2348</v>
      </c>
      <c r="CS125" s="13">
        <v>925</v>
      </c>
      <c r="CT125" s="13">
        <v>2010</v>
      </c>
      <c r="CU125" s="13">
        <v>1070</v>
      </c>
      <c r="CV125" s="14">
        <v>96285</v>
      </c>
      <c r="CW125" s="13">
        <v>13</v>
      </c>
      <c r="CX125" s="13">
        <v>59</v>
      </c>
      <c r="CY125" s="13">
        <v>1</v>
      </c>
      <c r="CZ125" s="13">
        <v>1979</v>
      </c>
      <c r="DA125" s="13">
        <v>0</v>
      </c>
      <c r="DB125" s="14">
        <v>2052</v>
      </c>
      <c r="DC125" s="14">
        <v>98337</v>
      </c>
      <c r="DD125" s="13">
        <v>1</v>
      </c>
      <c r="DE125" s="13">
        <v>1</v>
      </c>
      <c r="DF125" s="13">
        <v>0</v>
      </c>
      <c r="DG125" s="13">
        <v>0</v>
      </c>
      <c r="DH125" s="13">
        <v>251</v>
      </c>
      <c r="DI125" s="13">
        <v>21</v>
      </c>
      <c r="DJ125" s="14">
        <v>274</v>
      </c>
      <c r="DK125" s="13">
        <v>17</v>
      </c>
      <c r="DL125" s="13">
        <v>4</v>
      </c>
      <c r="DM125" s="13">
        <v>0</v>
      </c>
      <c r="DN125" s="14">
        <v>98632</v>
      </c>
    </row>
    <row r="126" spans="1:118" ht="16" thickBot="1" x14ac:dyDescent="0.25">
      <c r="A126" s="10"/>
      <c r="B126" s="11" t="s">
        <v>565</v>
      </c>
      <c r="C126" s="12" t="s">
        <v>566</v>
      </c>
      <c r="D126" s="13">
        <v>120</v>
      </c>
      <c r="E126" s="13">
        <v>17</v>
      </c>
      <c r="F126" s="13">
        <v>28</v>
      </c>
      <c r="G126" s="13">
        <v>15</v>
      </c>
      <c r="H126" s="13">
        <v>14</v>
      </c>
      <c r="I126" s="13">
        <v>573</v>
      </c>
      <c r="J126" s="13">
        <v>29</v>
      </c>
      <c r="K126" s="13">
        <v>7</v>
      </c>
      <c r="L126" s="13">
        <v>4</v>
      </c>
      <c r="M126" s="13">
        <v>3</v>
      </c>
      <c r="N126" s="13">
        <v>15</v>
      </c>
      <c r="O126" s="13">
        <v>34</v>
      </c>
      <c r="P126" s="13">
        <v>7571</v>
      </c>
      <c r="Q126" s="13">
        <v>317</v>
      </c>
      <c r="R126" s="13">
        <v>3</v>
      </c>
      <c r="S126" s="13">
        <v>6</v>
      </c>
      <c r="T126" s="13">
        <v>14</v>
      </c>
      <c r="U126" s="13">
        <v>0</v>
      </c>
      <c r="V126" s="13">
        <v>9</v>
      </c>
      <c r="W126" s="13">
        <v>5</v>
      </c>
      <c r="X126" s="13">
        <v>4</v>
      </c>
      <c r="Y126" s="13">
        <v>0</v>
      </c>
      <c r="Z126" s="13">
        <v>12</v>
      </c>
      <c r="AA126" s="13">
        <v>7</v>
      </c>
      <c r="AB126" s="13">
        <v>35</v>
      </c>
      <c r="AC126" s="13">
        <v>12</v>
      </c>
      <c r="AD126" s="13">
        <v>9</v>
      </c>
      <c r="AE126" s="13">
        <v>7</v>
      </c>
      <c r="AF126" s="13">
        <v>6</v>
      </c>
      <c r="AG126" s="13">
        <v>1</v>
      </c>
      <c r="AH126" s="13">
        <v>130</v>
      </c>
      <c r="AI126" s="13">
        <v>713</v>
      </c>
      <c r="AJ126" s="13">
        <v>6</v>
      </c>
      <c r="AK126" s="13">
        <v>1375</v>
      </c>
      <c r="AL126" s="13">
        <v>4004</v>
      </c>
      <c r="AM126" s="13">
        <v>14</v>
      </c>
      <c r="AN126" s="13">
        <v>3</v>
      </c>
      <c r="AO126" s="13">
        <v>7</v>
      </c>
      <c r="AP126" s="13">
        <v>8454</v>
      </c>
      <c r="AQ126" s="13">
        <v>10</v>
      </c>
      <c r="AR126" s="13">
        <v>9</v>
      </c>
      <c r="AS126" s="13">
        <v>7</v>
      </c>
      <c r="AT126" s="13">
        <v>17</v>
      </c>
      <c r="AU126" s="13">
        <v>9</v>
      </c>
      <c r="AV126" s="13">
        <v>19</v>
      </c>
      <c r="AW126" s="13">
        <v>4</v>
      </c>
      <c r="AX126" s="13">
        <v>3</v>
      </c>
      <c r="AY126" s="13">
        <v>4</v>
      </c>
      <c r="AZ126" s="13">
        <v>4</v>
      </c>
      <c r="BA126" s="13">
        <v>7</v>
      </c>
      <c r="BB126" s="13">
        <v>5</v>
      </c>
      <c r="BC126" s="13">
        <v>16</v>
      </c>
      <c r="BD126" s="13">
        <v>0</v>
      </c>
      <c r="BE126" s="13">
        <v>1</v>
      </c>
      <c r="BF126" s="13">
        <v>7</v>
      </c>
      <c r="BG126" s="13">
        <v>1</v>
      </c>
      <c r="BH126" s="13">
        <v>8</v>
      </c>
      <c r="BI126" s="13">
        <v>2</v>
      </c>
      <c r="BJ126" s="13">
        <v>6</v>
      </c>
      <c r="BK126" s="13">
        <v>5281</v>
      </c>
      <c r="BL126" s="13">
        <v>52</v>
      </c>
      <c r="BM126" s="13">
        <v>9</v>
      </c>
      <c r="BN126" s="13">
        <v>75</v>
      </c>
      <c r="BO126" s="13">
        <v>3123</v>
      </c>
      <c r="BP126" s="13">
        <v>625</v>
      </c>
      <c r="BQ126" s="13">
        <v>6</v>
      </c>
      <c r="BR126" s="13">
        <v>8</v>
      </c>
      <c r="BS126" s="13">
        <v>4</v>
      </c>
      <c r="BT126" s="13">
        <v>9</v>
      </c>
      <c r="BU126" s="13">
        <v>6267</v>
      </c>
      <c r="BV126" s="13">
        <v>1</v>
      </c>
      <c r="BW126" s="13">
        <v>8</v>
      </c>
      <c r="BX126" s="13">
        <v>6</v>
      </c>
      <c r="BY126" s="13">
        <v>65</v>
      </c>
      <c r="BZ126" s="13">
        <v>42</v>
      </c>
      <c r="CA126" s="13">
        <v>11142</v>
      </c>
      <c r="CB126" s="13">
        <v>142</v>
      </c>
      <c r="CC126" s="13">
        <v>38</v>
      </c>
      <c r="CD126" s="13">
        <v>60</v>
      </c>
      <c r="CE126" s="13">
        <v>15</v>
      </c>
      <c r="CF126" s="13">
        <v>679</v>
      </c>
      <c r="CG126" s="13">
        <v>10</v>
      </c>
      <c r="CH126" s="13">
        <v>9</v>
      </c>
      <c r="CI126" s="13">
        <v>92</v>
      </c>
      <c r="CJ126" s="13">
        <v>25</v>
      </c>
      <c r="CK126" s="13">
        <v>4</v>
      </c>
      <c r="CL126" s="13">
        <v>757</v>
      </c>
      <c r="CM126" s="13">
        <v>369</v>
      </c>
      <c r="CN126" s="13">
        <v>2</v>
      </c>
      <c r="CO126" s="13">
        <v>2</v>
      </c>
      <c r="CP126" s="13">
        <v>0</v>
      </c>
      <c r="CQ126" s="13">
        <v>88</v>
      </c>
      <c r="CR126" s="13">
        <v>531</v>
      </c>
      <c r="CS126" s="13">
        <v>150</v>
      </c>
      <c r="CT126" s="13">
        <v>973</v>
      </c>
      <c r="CU126" s="13">
        <v>34</v>
      </c>
      <c r="CV126" s="14">
        <v>54425</v>
      </c>
      <c r="CW126" s="13">
        <v>2</v>
      </c>
      <c r="CX126" s="13">
        <v>5</v>
      </c>
      <c r="CY126" s="13">
        <v>0</v>
      </c>
      <c r="CZ126" s="13">
        <v>7</v>
      </c>
      <c r="DA126" s="13">
        <v>0</v>
      </c>
      <c r="DB126" s="14">
        <v>14</v>
      </c>
      <c r="DC126" s="14">
        <v>54439</v>
      </c>
      <c r="DD126" s="13">
        <v>0</v>
      </c>
      <c r="DE126" s="13">
        <v>1</v>
      </c>
      <c r="DF126" s="13">
        <v>0</v>
      </c>
      <c r="DG126" s="13">
        <v>0</v>
      </c>
      <c r="DH126" s="13">
        <v>0</v>
      </c>
      <c r="DI126" s="13">
        <v>7</v>
      </c>
      <c r="DJ126" s="14">
        <v>8</v>
      </c>
      <c r="DK126" s="13">
        <v>0</v>
      </c>
      <c r="DL126" s="13">
        <v>18</v>
      </c>
      <c r="DM126" s="13">
        <v>0</v>
      </c>
      <c r="DN126" s="14">
        <v>54465</v>
      </c>
    </row>
    <row r="127" spans="1:118" ht="17" thickTop="1" thickBot="1" x14ac:dyDescent="0.25">
      <c r="A127" s="15"/>
      <c r="B127" s="15" t="s">
        <v>567</v>
      </c>
      <c r="C127" s="15" t="s">
        <v>114</v>
      </c>
      <c r="D127" s="16">
        <v>180984</v>
      </c>
      <c r="E127" s="16">
        <v>103338</v>
      </c>
      <c r="F127" s="16">
        <v>82873</v>
      </c>
      <c r="G127" s="16">
        <v>45178</v>
      </c>
      <c r="H127" s="16">
        <v>53210</v>
      </c>
      <c r="I127" s="16">
        <v>266986</v>
      </c>
      <c r="J127" s="16">
        <v>95765</v>
      </c>
      <c r="K127" s="16">
        <v>52676</v>
      </c>
      <c r="L127" s="16">
        <v>45145</v>
      </c>
      <c r="M127" s="16">
        <v>66966</v>
      </c>
      <c r="N127" s="16">
        <v>92766</v>
      </c>
      <c r="O127" s="16">
        <v>85755</v>
      </c>
      <c r="P127" s="16">
        <v>511364</v>
      </c>
      <c r="Q127" s="16">
        <v>183425</v>
      </c>
      <c r="R127" s="16">
        <v>40048</v>
      </c>
      <c r="S127" s="16">
        <v>83369</v>
      </c>
      <c r="T127" s="16">
        <v>165025</v>
      </c>
      <c r="U127" s="16">
        <v>70288</v>
      </c>
      <c r="V127" s="16">
        <v>70883</v>
      </c>
      <c r="W127" s="16">
        <v>124209</v>
      </c>
      <c r="X127" s="16">
        <v>181468</v>
      </c>
      <c r="Y127" s="16">
        <v>29468</v>
      </c>
      <c r="Z127" s="16">
        <v>98233</v>
      </c>
      <c r="AA127" s="16">
        <v>137474</v>
      </c>
      <c r="AB127" s="16">
        <v>144146</v>
      </c>
      <c r="AC127" s="16">
        <v>141880</v>
      </c>
      <c r="AD127" s="16">
        <v>117260</v>
      </c>
      <c r="AE127" s="16">
        <v>280598</v>
      </c>
      <c r="AF127" s="16">
        <v>41228</v>
      </c>
      <c r="AG127" s="16">
        <v>44402</v>
      </c>
      <c r="AH127" s="16">
        <v>198227</v>
      </c>
      <c r="AI127" s="16">
        <v>391063</v>
      </c>
      <c r="AJ127" s="16">
        <v>61357</v>
      </c>
      <c r="AK127" s="16">
        <v>441801</v>
      </c>
      <c r="AL127" s="16">
        <v>276608</v>
      </c>
      <c r="AM127" s="16">
        <v>358182</v>
      </c>
      <c r="AN127" s="16">
        <v>53372</v>
      </c>
      <c r="AO127" s="16">
        <v>162773</v>
      </c>
      <c r="AP127" s="16">
        <v>369673</v>
      </c>
      <c r="AQ127" s="16">
        <v>71831</v>
      </c>
      <c r="AR127" s="16">
        <v>141001</v>
      </c>
      <c r="AS127" s="16">
        <v>86087</v>
      </c>
      <c r="AT127" s="16">
        <v>197809</v>
      </c>
      <c r="AU127" s="16">
        <v>65147</v>
      </c>
      <c r="AV127" s="16">
        <v>471523</v>
      </c>
      <c r="AW127" s="16">
        <v>185693</v>
      </c>
      <c r="AX127" s="16">
        <v>50358</v>
      </c>
      <c r="AY127" s="16">
        <v>90157</v>
      </c>
      <c r="AZ127" s="16">
        <v>27837</v>
      </c>
      <c r="BA127" s="16">
        <v>243313</v>
      </c>
      <c r="BB127" s="16">
        <v>134140</v>
      </c>
      <c r="BC127" s="16">
        <v>125778</v>
      </c>
      <c r="BD127" s="16">
        <v>39432</v>
      </c>
      <c r="BE127" s="16">
        <v>103751</v>
      </c>
      <c r="BF127" s="16">
        <v>171007</v>
      </c>
      <c r="BG127" s="16">
        <v>47538</v>
      </c>
      <c r="BH127" s="16">
        <v>252888</v>
      </c>
      <c r="BI127" s="16">
        <v>262338</v>
      </c>
      <c r="BJ127" s="16">
        <v>47345</v>
      </c>
      <c r="BK127" s="16">
        <v>618246</v>
      </c>
      <c r="BL127" s="16">
        <v>204234</v>
      </c>
      <c r="BM127" s="16">
        <v>64290</v>
      </c>
      <c r="BN127" s="16">
        <v>307191</v>
      </c>
      <c r="BO127" s="16">
        <v>177483</v>
      </c>
      <c r="BP127" s="16">
        <v>219731</v>
      </c>
      <c r="BQ127" s="16">
        <v>64246</v>
      </c>
      <c r="BR127" s="16">
        <v>128970</v>
      </c>
      <c r="BS127" s="16">
        <v>287564</v>
      </c>
      <c r="BT127" s="16">
        <v>181848</v>
      </c>
      <c r="BU127" s="16">
        <v>489961</v>
      </c>
      <c r="BV127" s="16">
        <v>51180</v>
      </c>
      <c r="BW127" s="16">
        <v>126486</v>
      </c>
      <c r="BX127" s="16">
        <v>151550</v>
      </c>
      <c r="BY127" s="16">
        <v>139217</v>
      </c>
      <c r="BZ127" s="16">
        <v>266378</v>
      </c>
      <c r="CA127" s="16">
        <v>355717</v>
      </c>
      <c r="CB127" s="16">
        <v>268363</v>
      </c>
      <c r="CC127" s="16">
        <v>321990</v>
      </c>
      <c r="CD127" s="16">
        <v>425500</v>
      </c>
      <c r="CE127" s="16">
        <v>100984</v>
      </c>
      <c r="CF127" s="16">
        <v>132234</v>
      </c>
      <c r="CG127" s="16">
        <v>115502</v>
      </c>
      <c r="CH127" s="16">
        <v>75013</v>
      </c>
      <c r="CI127" s="16">
        <v>270616</v>
      </c>
      <c r="CJ127" s="16">
        <v>146557</v>
      </c>
      <c r="CK127" s="16">
        <v>223676</v>
      </c>
      <c r="CL127" s="16">
        <v>117052</v>
      </c>
      <c r="CM127" s="16">
        <v>103192</v>
      </c>
      <c r="CN127" s="16">
        <v>84429</v>
      </c>
      <c r="CO127" s="16">
        <v>71038</v>
      </c>
      <c r="CP127" s="16">
        <v>32431</v>
      </c>
      <c r="CQ127" s="16">
        <v>344015</v>
      </c>
      <c r="CR127" s="16">
        <v>382914</v>
      </c>
      <c r="CS127" s="16">
        <v>243240</v>
      </c>
      <c r="CT127" s="16">
        <v>283312</v>
      </c>
      <c r="CU127" s="16">
        <v>263368</v>
      </c>
      <c r="CV127" s="17">
        <v>16604157</v>
      </c>
      <c r="CW127" s="16">
        <v>75878</v>
      </c>
      <c r="CX127" s="16">
        <v>67647</v>
      </c>
      <c r="CY127" s="16">
        <v>47176</v>
      </c>
      <c r="CZ127" s="16">
        <v>173837</v>
      </c>
      <c r="DA127" s="16">
        <v>44143</v>
      </c>
      <c r="DB127" s="17">
        <v>408681</v>
      </c>
      <c r="DC127" s="17">
        <v>17012838</v>
      </c>
      <c r="DD127" s="16">
        <v>2666</v>
      </c>
      <c r="DE127" s="16">
        <v>2000</v>
      </c>
      <c r="DF127" s="16">
        <v>5254</v>
      </c>
      <c r="DG127" s="16">
        <v>1524</v>
      </c>
      <c r="DH127" s="16">
        <v>26489</v>
      </c>
      <c r="DI127" s="16">
        <v>32717</v>
      </c>
      <c r="DJ127" s="17">
        <v>70650</v>
      </c>
      <c r="DK127" s="16">
        <v>9161</v>
      </c>
      <c r="DL127" s="16">
        <v>67873</v>
      </c>
      <c r="DM127" s="16">
        <v>542</v>
      </c>
      <c r="DN127" s="17">
        <v>17161064</v>
      </c>
    </row>
    <row r="128" spans="1:118" ht="17" thickTop="1" thickBot="1" x14ac:dyDescent="0.25">
      <c r="A128" s="15"/>
      <c r="B128" s="15"/>
      <c r="C128" s="15" t="s">
        <v>116</v>
      </c>
      <c r="D128" s="16">
        <v>683034</v>
      </c>
      <c r="E128" s="16">
        <v>521152</v>
      </c>
      <c r="F128" s="16">
        <v>333234</v>
      </c>
      <c r="G128" s="16">
        <v>168908</v>
      </c>
      <c r="H128" s="16">
        <v>141906</v>
      </c>
      <c r="I128" s="16">
        <v>1124992</v>
      </c>
      <c r="J128" s="16">
        <v>335833</v>
      </c>
      <c r="K128" s="16">
        <v>264556</v>
      </c>
      <c r="L128" s="16">
        <v>156304</v>
      </c>
      <c r="M128" s="16">
        <v>311187</v>
      </c>
      <c r="N128" s="16">
        <v>379190</v>
      </c>
      <c r="O128" s="16">
        <v>278821</v>
      </c>
      <c r="P128" s="16">
        <v>2083682</v>
      </c>
      <c r="Q128" s="16">
        <v>709128</v>
      </c>
      <c r="R128" s="16">
        <v>143964</v>
      </c>
      <c r="S128" s="16">
        <v>350672</v>
      </c>
      <c r="T128" s="16">
        <v>677189</v>
      </c>
      <c r="U128" s="16">
        <v>297019</v>
      </c>
      <c r="V128" s="16">
        <v>239704</v>
      </c>
      <c r="W128" s="16">
        <v>538508</v>
      </c>
      <c r="X128" s="16">
        <v>613301</v>
      </c>
      <c r="Y128" s="16">
        <v>114600</v>
      </c>
      <c r="Z128" s="16">
        <v>417397</v>
      </c>
      <c r="AA128" s="16">
        <v>550255</v>
      </c>
      <c r="AB128" s="16">
        <v>523457</v>
      </c>
      <c r="AC128" s="16">
        <v>601853</v>
      </c>
      <c r="AD128" s="16">
        <v>433304</v>
      </c>
      <c r="AE128" s="16">
        <v>933628</v>
      </c>
      <c r="AF128" s="16">
        <v>170513</v>
      </c>
      <c r="AG128" s="16">
        <v>186724</v>
      </c>
      <c r="AH128" s="16">
        <v>772243</v>
      </c>
      <c r="AI128" s="16">
        <v>1489751</v>
      </c>
      <c r="AJ128" s="16">
        <v>192920</v>
      </c>
      <c r="AK128" s="16">
        <v>1704597</v>
      </c>
      <c r="AL128" s="16">
        <v>1241541</v>
      </c>
      <c r="AM128" s="16">
        <v>1126416</v>
      </c>
      <c r="AN128" s="16">
        <v>214525</v>
      </c>
      <c r="AO128" s="16">
        <v>619310</v>
      </c>
      <c r="AP128" s="16">
        <v>1302971</v>
      </c>
      <c r="AQ128" s="16">
        <v>257644</v>
      </c>
      <c r="AR128" s="16">
        <v>436872</v>
      </c>
      <c r="AS128" s="16">
        <v>328012</v>
      </c>
      <c r="AT128" s="16">
        <v>775357</v>
      </c>
      <c r="AU128" s="16">
        <v>228010</v>
      </c>
      <c r="AV128" s="16">
        <v>1498959</v>
      </c>
      <c r="AW128" s="16">
        <v>689845</v>
      </c>
      <c r="AX128" s="16">
        <v>176103</v>
      </c>
      <c r="AY128" s="16">
        <v>332318</v>
      </c>
      <c r="AZ128" s="16">
        <v>76512</v>
      </c>
      <c r="BA128" s="16">
        <v>832858</v>
      </c>
      <c r="BB128" s="16">
        <v>496331</v>
      </c>
      <c r="BC128" s="16">
        <v>560550</v>
      </c>
      <c r="BD128" s="16">
        <v>168009</v>
      </c>
      <c r="BE128" s="16">
        <v>303859</v>
      </c>
      <c r="BF128" s="16">
        <v>730498</v>
      </c>
      <c r="BG128" s="16">
        <v>178231</v>
      </c>
      <c r="BH128" s="16">
        <v>785243</v>
      </c>
      <c r="BI128" s="16">
        <v>1050897</v>
      </c>
      <c r="BJ128" s="16">
        <v>200541</v>
      </c>
      <c r="BK128" s="16">
        <v>2616167</v>
      </c>
      <c r="BL128" s="16">
        <v>830031</v>
      </c>
      <c r="BM128" s="16">
        <v>273419</v>
      </c>
      <c r="BN128" s="16">
        <v>1453532</v>
      </c>
      <c r="BO128" s="16">
        <v>664135</v>
      </c>
      <c r="BP128" s="16">
        <v>708825</v>
      </c>
      <c r="BQ128" s="16">
        <v>232145</v>
      </c>
      <c r="BR128" s="16">
        <v>500103</v>
      </c>
      <c r="BS128" s="16">
        <v>1164797</v>
      </c>
      <c r="BT128" s="16">
        <v>766549</v>
      </c>
      <c r="BU128" s="16">
        <v>1924716</v>
      </c>
      <c r="BV128" s="16">
        <v>232626</v>
      </c>
      <c r="BW128" s="16">
        <v>546754</v>
      </c>
      <c r="BX128" s="16">
        <v>564913</v>
      </c>
      <c r="BY128" s="16">
        <v>450451</v>
      </c>
      <c r="BZ128" s="16">
        <v>863640</v>
      </c>
      <c r="CA128" s="16">
        <v>2070806</v>
      </c>
      <c r="CB128" s="16">
        <v>1260312</v>
      </c>
      <c r="CC128" s="16">
        <v>1470763</v>
      </c>
      <c r="CD128" s="16">
        <v>1483576</v>
      </c>
      <c r="CE128" s="16">
        <v>374890</v>
      </c>
      <c r="CF128" s="16">
        <v>561656</v>
      </c>
      <c r="CG128" s="16">
        <v>399634</v>
      </c>
      <c r="CH128" s="16">
        <v>267035</v>
      </c>
      <c r="CI128" s="16">
        <v>1126788</v>
      </c>
      <c r="CJ128" s="16">
        <v>572065</v>
      </c>
      <c r="CK128" s="16">
        <v>717667</v>
      </c>
      <c r="CL128" s="16">
        <v>437691</v>
      </c>
      <c r="CM128" s="16">
        <v>371847</v>
      </c>
      <c r="CN128" s="16">
        <v>354450</v>
      </c>
      <c r="CO128" s="16">
        <v>331845</v>
      </c>
      <c r="CP128" s="16">
        <v>138987</v>
      </c>
      <c r="CQ128" s="16">
        <v>1337492</v>
      </c>
      <c r="CR128" s="16">
        <v>1658614</v>
      </c>
      <c r="CS128" s="16">
        <v>1702158</v>
      </c>
      <c r="CT128" s="16">
        <v>1424361</v>
      </c>
      <c r="CU128" s="16">
        <v>1282581</v>
      </c>
      <c r="CV128" s="17">
        <v>66192959</v>
      </c>
      <c r="CW128" s="16">
        <v>381909</v>
      </c>
      <c r="CX128" s="16">
        <v>357590</v>
      </c>
      <c r="CY128" s="16">
        <v>291774</v>
      </c>
      <c r="CZ128" s="16">
        <v>892102</v>
      </c>
      <c r="DA128" s="16">
        <v>320282</v>
      </c>
      <c r="DB128" s="17">
        <v>2243657</v>
      </c>
      <c r="DC128" s="17">
        <v>68436616</v>
      </c>
      <c r="DD128" s="16" t="s">
        <v>115</v>
      </c>
      <c r="DE128" s="16" t="s">
        <v>115</v>
      </c>
      <c r="DF128" s="16" t="s">
        <v>115</v>
      </c>
      <c r="DG128" s="16" t="s">
        <v>115</v>
      </c>
      <c r="DH128" s="16" t="s">
        <v>115</v>
      </c>
      <c r="DI128" s="16" t="s">
        <v>115</v>
      </c>
      <c r="DJ128" s="17" t="s">
        <v>115</v>
      </c>
      <c r="DK128" s="16" t="s">
        <v>115</v>
      </c>
      <c r="DL128" s="16" t="s">
        <v>115</v>
      </c>
      <c r="DM128" s="16" t="s">
        <v>115</v>
      </c>
      <c r="DN128" s="17">
        <v>68436616</v>
      </c>
    </row>
    <row r="129" spans="1:118" ht="17" thickTop="1" thickBot="1" x14ac:dyDescent="0.25">
      <c r="A129" s="18"/>
      <c r="B129" s="18"/>
      <c r="C129" s="18" t="s">
        <v>117</v>
      </c>
      <c r="D129" s="19">
        <v>0.26497070424019897</v>
      </c>
      <c r="E129" s="19">
        <v>0.19828763969053201</v>
      </c>
      <c r="F129" s="19">
        <v>0.24869311054694301</v>
      </c>
      <c r="G129" s="19">
        <v>0.26747104932862897</v>
      </c>
      <c r="H129" s="19">
        <v>0.37496652713768303</v>
      </c>
      <c r="I129" s="19">
        <v>0.2373225765161</v>
      </c>
      <c r="J129" s="19">
        <v>0.28515661057728098</v>
      </c>
      <c r="K129" s="19">
        <v>0.19911096327431599</v>
      </c>
      <c r="L129" s="19">
        <v>0.28882818098065299</v>
      </c>
      <c r="M129" s="19">
        <v>0.21519536484493201</v>
      </c>
      <c r="N129" s="19">
        <v>0.24464252749281401</v>
      </c>
      <c r="O129" s="19">
        <v>0.30756291671000402</v>
      </c>
      <c r="P129" s="19">
        <v>0.24541364757194201</v>
      </c>
      <c r="Q129" s="19">
        <v>0.25866275199963901</v>
      </c>
      <c r="R129" s="19">
        <v>0.27818065627518002</v>
      </c>
      <c r="S129" s="19">
        <v>0.23774068075010299</v>
      </c>
      <c r="T129" s="19">
        <v>0.24369119994565799</v>
      </c>
      <c r="U129" s="19">
        <v>0.236644793767402</v>
      </c>
      <c r="V129" s="19">
        <v>0.29571054300303701</v>
      </c>
      <c r="W129" s="19">
        <v>0.23065395500159699</v>
      </c>
      <c r="X129" s="19">
        <v>0.29588733753898999</v>
      </c>
      <c r="Y129" s="19">
        <v>0.257137870855148</v>
      </c>
      <c r="Z129" s="19">
        <v>0.235346684331703</v>
      </c>
      <c r="AA129" s="19">
        <v>0.24983689380378199</v>
      </c>
      <c r="AB129" s="19">
        <v>0.27537314430793702</v>
      </c>
      <c r="AC129" s="19">
        <v>0.235738627206311</v>
      </c>
      <c r="AD129" s="19">
        <v>0.27061831877850201</v>
      </c>
      <c r="AE129" s="19">
        <v>0.30054582767440602</v>
      </c>
      <c r="AF129" s="19">
        <v>0.241788016162991</v>
      </c>
      <c r="AG129" s="19">
        <v>0.23779482016237899</v>
      </c>
      <c r="AH129" s="19">
        <v>0.25668992791129203</v>
      </c>
      <c r="AI129" s="19">
        <v>0.26250225708860098</v>
      </c>
      <c r="AJ129" s="19">
        <v>0.31804374870412599</v>
      </c>
      <c r="AK129" s="19">
        <v>0.25918208233383</v>
      </c>
      <c r="AL129" s="19">
        <v>0.222794092180605</v>
      </c>
      <c r="AM129" s="19">
        <v>0.31798376443516402</v>
      </c>
      <c r="AN129" s="19">
        <v>0.24879151614031</v>
      </c>
      <c r="AO129" s="19">
        <v>0.26282960068463301</v>
      </c>
      <c r="AP129" s="19">
        <v>0.283715447235587</v>
      </c>
      <c r="AQ129" s="19">
        <v>0.27879942866901603</v>
      </c>
      <c r="AR129" s="19">
        <v>0.32275128641799</v>
      </c>
      <c r="AS129" s="19">
        <v>0.26245076399643902</v>
      </c>
      <c r="AT129" s="19">
        <v>0.255119899607536</v>
      </c>
      <c r="AU129" s="19">
        <v>0.28571992456471201</v>
      </c>
      <c r="AV129" s="19">
        <v>0.31456697614811302</v>
      </c>
      <c r="AW129" s="19">
        <v>0.26918075799636099</v>
      </c>
      <c r="AX129" s="19">
        <v>0.285957649784501</v>
      </c>
      <c r="AY129" s="19">
        <v>0.27129737179448599</v>
      </c>
      <c r="AZ129" s="19">
        <v>0.36382528230865702</v>
      </c>
      <c r="BA129" s="19">
        <v>0.29214223793251698</v>
      </c>
      <c r="BB129" s="19">
        <v>0.27026319129774301</v>
      </c>
      <c r="BC129" s="19">
        <v>0.224383195076264</v>
      </c>
      <c r="BD129" s="19">
        <v>0.23470171240826401</v>
      </c>
      <c r="BE129" s="19">
        <v>0.34144455158478099</v>
      </c>
      <c r="BF129" s="19">
        <v>0.23409646569874301</v>
      </c>
      <c r="BG129" s="19">
        <v>0.26672127744331797</v>
      </c>
      <c r="BH129" s="19">
        <v>0.32205062636661502</v>
      </c>
      <c r="BI129" s="19">
        <v>0.24963245684401</v>
      </c>
      <c r="BJ129" s="19">
        <v>0.23608638632499099</v>
      </c>
      <c r="BK129" s="19">
        <v>0.236317482790663</v>
      </c>
      <c r="BL129" s="19">
        <v>0.24605587020243799</v>
      </c>
      <c r="BM129" s="19">
        <v>0.23513362275482</v>
      </c>
      <c r="BN129" s="19">
        <v>0.21134106438661099</v>
      </c>
      <c r="BO129" s="19">
        <v>0.26723934139896299</v>
      </c>
      <c r="BP129" s="19">
        <v>0.30999329876908999</v>
      </c>
      <c r="BQ129" s="19">
        <v>0.276749445389735</v>
      </c>
      <c r="BR129" s="19">
        <v>0.25788687530368698</v>
      </c>
      <c r="BS129" s="19">
        <v>0.24687906991518699</v>
      </c>
      <c r="BT129" s="19">
        <v>0.23722945304214099</v>
      </c>
      <c r="BU129" s="19">
        <v>0.25456275107600301</v>
      </c>
      <c r="BV129" s="19">
        <v>0.22000980114002699</v>
      </c>
      <c r="BW129" s="19">
        <v>0.23133987131324099</v>
      </c>
      <c r="BX129" s="19">
        <v>0.26827139754263002</v>
      </c>
      <c r="BY129" s="19">
        <v>0.30906136294513697</v>
      </c>
      <c r="BZ129" s="19">
        <v>0.30843638553100799</v>
      </c>
      <c r="CA129" s="19">
        <v>0.171777076172273</v>
      </c>
      <c r="CB129" s="19">
        <v>0.21293378147633299</v>
      </c>
      <c r="CC129" s="19">
        <v>0.218927182693609</v>
      </c>
      <c r="CD129" s="19">
        <v>0.28680701224608601</v>
      </c>
      <c r="CE129" s="19">
        <v>0.26936968177331999</v>
      </c>
      <c r="CF129" s="19">
        <v>0.235435925192645</v>
      </c>
      <c r="CG129" s="19">
        <v>0.28901945279931102</v>
      </c>
      <c r="CH129" s="19">
        <v>0.280910742037561</v>
      </c>
      <c r="CI129" s="19">
        <v>0.240165851961505</v>
      </c>
      <c r="CJ129" s="19">
        <v>0.25618941903455</v>
      </c>
      <c r="CK129" s="19">
        <v>0.31167101176450901</v>
      </c>
      <c r="CL129" s="19">
        <v>0.26743067597917303</v>
      </c>
      <c r="CM129" s="19">
        <v>0.27751198745720701</v>
      </c>
      <c r="CN129" s="19">
        <v>0.23819720694033</v>
      </c>
      <c r="CO129" s="19">
        <v>0.214069821754132</v>
      </c>
      <c r="CP129" s="19">
        <v>0.233338369775591</v>
      </c>
      <c r="CQ129" s="19">
        <v>0.25720901508195898</v>
      </c>
      <c r="CR129" s="19">
        <v>0.23086384173773999</v>
      </c>
      <c r="CS129" s="19">
        <v>0.14290095279051701</v>
      </c>
      <c r="CT129" s="19">
        <v>0.19890463162077601</v>
      </c>
      <c r="CU129" s="19">
        <v>0.20534219671116299</v>
      </c>
      <c r="CV129" s="20">
        <v>0.25084476129855399</v>
      </c>
      <c r="CW129" s="19">
        <v>0.198680837581728</v>
      </c>
      <c r="CX129" s="19">
        <v>0.189174753208982</v>
      </c>
      <c r="CY129" s="19">
        <v>0.16168678497741401</v>
      </c>
      <c r="CZ129" s="19">
        <v>0.19486224669376401</v>
      </c>
      <c r="DA129" s="19">
        <v>0.13782541635184001</v>
      </c>
      <c r="DB129" s="20">
        <v>0.182149499678427</v>
      </c>
      <c r="DC129" s="20">
        <v>0.248592624743456</v>
      </c>
      <c r="DD129" s="19" t="s">
        <v>115</v>
      </c>
      <c r="DE129" s="19" t="s">
        <v>115</v>
      </c>
      <c r="DF129" s="19" t="s">
        <v>115</v>
      </c>
      <c r="DG129" s="19" t="s">
        <v>115</v>
      </c>
      <c r="DH129" s="19" t="s">
        <v>115</v>
      </c>
      <c r="DI129" s="19" t="s">
        <v>115</v>
      </c>
      <c r="DJ129" s="20" t="s">
        <v>115</v>
      </c>
      <c r="DK129" s="19" t="s">
        <v>115</v>
      </c>
      <c r="DL129" s="19" t="s">
        <v>115</v>
      </c>
      <c r="DM129" s="19" t="s">
        <v>115</v>
      </c>
      <c r="DN129" s="20">
        <v>0.25075851208072603</v>
      </c>
    </row>
    <row r="131" spans="1:118" x14ac:dyDescent="0.2">
      <c r="A131" s="62" t="s">
        <v>568</v>
      </c>
      <c r="B131" s="62"/>
      <c r="C131" s="62"/>
    </row>
    <row r="132" spans="1:118" x14ac:dyDescent="0.2">
      <c r="A132" s="63" t="s">
        <v>115</v>
      </c>
      <c r="B132" s="63"/>
      <c r="C132" s="21" t="s">
        <v>569</v>
      </c>
    </row>
    <row r="133" spans="1:118" x14ac:dyDescent="0.2">
      <c r="A133" s="63" t="s">
        <v>507</v>
      </c>
      <c r="B133" s="63"/>
      <c r="C133" s="21" t="s">
        <v>570</v>
      </c>
    </row>
    <row r="134" spans="1:118" x14ac:dyDescent="0.2">
      <c r="A134" s="63" t="s">
        <v>571</v>
      </c>
      <c r="B134" s="63"/>
      <c r="C134" s="21" t="s">
        <v>572</v>
      </c>
    </row>
    <row r="135" spans="1:118" ht="84.75" customHeight="1" x14ac:dyDescent="0.2">
      <c r="A135" s="60" t="s">
        <v>573</v>
      </c>
      <c r="B135" s="60"/>
      <c r="C135" s="22" t="s">
        <v>574</v>
      </c>
    </row>
  </sheetData>
  <mergeCells count="13">
    <mergeCell ref="A99:C99"/>
    <mergeCell ref="A1:Q1"/>
    <mergeCell ref="A2:Q2"/>
    <mergeCell ref="A3:Q3"/>
    <mergeCell ref="A5:C5"/>
    <mergeCell ref="A44:C44"/>
    <mergeCell ref="A135:B135"/>
    <mergeCell ref="A118:C118"/>
    <mergeCell ref="A121:C121"/>
    <mergeCell ref="A131:C131"/>
    <mergeCell ref="A132:B132"/>
    <mergeCell ref="A133:B133"/>
    <mergeCell ref="A134:B134"/>
  </mergeCells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4226A1-6BB0-1F47-B0F1-5876AE76D3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Fusion</vt:lpstr>
      <vt:lpstr>Source 2</vt:lpstr>
      <vt:lpstr>Source 1</vt:lpstr>
      <vt:lpstr>'Source 2'!Impression_des_titres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Nkashama Christivie</dc:creator>
  <cp:lastModifiedBy>Nkashama Christivie</cp:lastModifiedBy>
  <dcterms:created xsi:type="dcterms:W3CDTF">2026-07-25T11:39:10Z</dcterms:created>
  <dcterms:modified xsi:type="dcterms:W3CDTF">2026-07-25T20:10:18Z</dcterms:modified>
</cp:coreProperties>
</file>